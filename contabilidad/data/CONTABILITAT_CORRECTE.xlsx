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dministrador/Desktop/CONTABILITAT/"/>
    </mc:Choice>
  </mc:AlternateContent>
  <xr:revisionPtr revIDLastSave="0" documentId="13_ncr:1_{15C9A5CB-0E11-9C49-A3BF-8AF693746F63}" xr6:coauthVersionLast="47" xr6:coauthVersionMax="47" xr10:uidLastSave="{00000000-0000-0000-0000-000000000000}"/>
  <bookViews>
    <workbookView xWindow="0" yWindow="660" windowWidth="18600" windowHeight="16580" tabRatio="500" activeTab="2" xr2:uid="{00000000-000D-0000-FFFF-FFFF00000000}"/>
  </bookViews>
  <sheets>
    <sheet name="CONTABILITAT ANUAL 2026" sheetId="1" r:id="rId1"/>
    <sheet name="PREVISIONS DE CAIXA 2026" sheetId="2" r:id="rId2"/>
    <sheet name="PAGAMENTS DELS CLIENT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67" i="2" l="1"/>
  <c r="D55" i="2"/>
  <c r="G55" i="2" s="1"/>
  <c r="G54" i="2"/>
  <c r="G53" i="2"/>
  <c r="G52" i="2"/>
  <c r="G51" i="2"/>
  <c r="F45" i="2"/>
  <c r="E45" i="2"/>
  <c r="D45" i="2"/>
  <c r="C45" i="2"/>
  <c r="F41" i="2"/>
  <c r="F58" i="2" s="1"/>
  <c r="F62" i="2" s="1"/>
  <c r="E41" i="2"/>
  <c r="E58" i="2" s="1"/>
  <c r="E62" i="2" s="1"/>
  <c r="F39" i="2"/>
  <c r="E39" i="2"/>
  <c r="D39" i="2"/>
  <c r="C39" i="2"/>
  <c r="B39" i="2"/>
  <c r="G39" i="2" s="1"/>
  <c r="G38" i="2"/>
  <c r="B38" i="2"/>
  <c r="B45" i="2" s="1"/>
  <c r="G45" i="2" s="1"/>
  <c r="G37" i="2"/>
  <c r="G36" i="2"/>
  <c r="G35" i="2"/>
  <c r="G34" i="2"/>
  <c r="G33" i="2"/>
  <c r="G32" i="2"/>
  <c r="G31" i="2"/>
  <c r="G30" i="2"/>
  <c r="G29" i="2"/>
  <c r="G28" i="2"/>
  <c r="F25" i="2"/>
  <c r="F44" i="2" s="1"/>
  <c r="F46" i="2" s="1"/>
  <c r="E25" i="2"/>
  <c r="E44" i="2" s="1"/>
  <c r="E46" i="2" s="1"/>
  <c r="D25" i="2"/>
  <c r="D41" i="2" s="1"/>
  <c r="C25" i="2"/>
  <c r="C41" i="2" s="1"/>
  <c r="C58" i="2" s="1"/>
  <c r="C62" i="2" s="1"/>
  <c r="B25" i="2"/>
  <c r="G25" i="2" s="1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B129" i="1"/>
  <c r="B124" i="1"/>
  <c r="G38" i="1" s="1"/>
  <c r="B115" i="1"/>
  <c r="B107" i="1"/>
  <c r="B97" i="1"/>
  <c r="B89" i="1"/>
  <c r="E81" i="1"/>
  <c r="B81" i="1"/>
  <c r="B38" i="1" s="1"/>
  <c r="B77" i="1"/>
  <c r="B75" i="1"/>
  <c r="B72" i="1"/>
  <c r="B69" i="1"/>
  <c r="E27" i="1" s="1"/>
  <c r="E28" i="1" s="1"/>
  <c r="B66" i="1"/>
  <c r="B63" i="1"/>
  <c r="L59" i="1"/>
  <c r="M55" i="1"/>
  <c r="N55" i="1" s="1"/>
  <c r="L55" i="1"/>
  <c r="K55" i="1"/>
  <c r="J55" i="1"/>
  <c r="I55" i="1"/>
  <c r="F55" i="1"/>
  <c r="E55" i="1"/>
  <c r="C55" i="1"/>
  <c r="B55" i="1"/>
  <c r="E56" i="1" s="1"/>
  <c r="N56" i="1" s="1"/>
  <c r="M54" i="1"/>
  <c r="N54" i="1" s="1"/>
  <c r="L54" i="1"/>
  <c r="K54" i="1"/>
  <c r="J54" i="1"/>
  <c r="I54" i="1"/>
  <c r="F54" i="1"/>
  <c r="E54" i="1"/>
  <c r="M53" i="1"/>
  <c r="L53" i="1"/>
  <c r="K53" i="1"/>
  <c r="J53" i="1"/>
  <c r="I53" i="1"/>
  <c r="F53" i="1"/>
  <c r="E53" i="1"/>
  <c r="H56" i="1" s="1"/>
  <c r="L49" i="1"/>
  <c r="K49" i="1"/>
  <c r="M48" i="1"/>
  <c r="L48" i="1"/>
  <c r="K48" i="1"/>
  <c r="J48" i="1"/>
  <c r="I48" i="1"/>
  <c r="F48" i="1"/>
  <c r="E48" i="1"/>
  <c r="D48" i="1"/>
  <c r="L47" i="1"/>
  <c r="K47" i="1"/>
  <c r="H47" i="1"/>
  <c r="B47" i="1"/>
  <c r="L44" i="1"/>
  <c r="K44" i="1"/>
  <c r="K59" i="1" s="1"/>
  <c r="J44" i="1"/>
  <c r="J59" i="1" s="1"/>
  <c r="M41" i="1"/>
  <c r="L41" i="1"/>
  <c r="K41" i="1"/>
  <c r="J41" i="1"/>
  <c r="I41" i="1"/>
  <c r="N40" i="1"/>
  <c r="N39" i="1"/>
  <c r="N38" i="1"/>
  <c r="H38" i="1"/>
  <c r="H41" i="1" s="1"/>
  <c r="F38" i="1"/>
  <c r="F41" i="1" s="1"/>
  <c r="E38" i="1"/>
  <c r="E41" i="1" s="1"/>
  <c r="D38" i="1"/>
  <c r="D41" i="1" s="1"/>
  <c r="C38" i="1"/>
  <c r="C48" i="1" s="1"/>
  <c r="N37" i="1"/>
  <c r="N36" i="1"/>
  <c r="N35" i="1"/>
  <c r="N34" i="1"/>
  <c r="N33" i="1"/>
  <c r="N32" i="1"/>
  <c r="M28" i="1"/>
  <c r="M47" i="1" s="1"/>
  <c r="M49" i="1" s="1"/>
  <c r="L28" i="1"/>
  <c r="K28" i="1"/>
  <c r="J28" i="1"/>
  <c r="J47" i="1" s="1"/>
  <c r="J49" i="1" s="1"/>
  <c r="I28" i="1"/>
  <c r="I44" i="1" s="1"/>
  <c r="I59" i="1" s="1"/>
  <c r="H28" i="1"/>
  <c r="D28" i="1"/>
  <c r="D47" i="1" s="1"/>
  <c r="D49" i="1" s="1"/>
  <c r="C28" i="1"/>
  <c r="C47" i="1" s="1"/>
  <c r="C49" i="1" s="1"/>
  <c r="B28" i="1"/>
  <c r="H27" i="1"/>
  <c r="G27" i="1"/>
  <c r="G28" i="1" s="1"/>
  <c r="F27" i="1"/>
  <c r="F28" i="1" s="1"/>
  <c r="D27" i="1"/>
  <c r="C27" i="1"/>
  <c r="N26" i="1"/>
  <c r="N25" i="1"/>
  <c r="N24" i="1"/>
  <c r="E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P56" i="3"/>
  <c r="O56" i="3"/>
  <c r="N56" i="3"/>
  <c r="M56" i="3"/>
  <c r="L56" i="3"/>
  <c r="I56" i="3"/>
  <c r="H56" i="3"/>
  <c r="G56" i="3"/>
  <c r="F56" i="3"/>
  <c r="E56" i="3"/>
  <c r="D56" i="3"/>
  <c r="C56" i="3"/>
  <c r="B56" i="3"/>
  <c r="Q55" i="3"/>
  <c r="Q54" i="3"/>
  <c r="Q53" i="3"/>
  <c r="Q52" i="3"/>
  <c r="K51" i="3"/>
  <c r="Q51" i="3" s="1"/>
  <c r="Q50" i="3"/>
  <c r="Q49" i="3"/>
  <c r="Q48" i="3"/>
  <c r="Q46" i="3"/>
  <c r="Q45" i="3"/>
  <c r="K44" i="3"/>
  <c r="J44" i="3"/>
  <c r="Q44" i="3" s="1"/>
  <c r="Q43" i="3"/>
  <c r="K43" i="3"/>
  <c r="Q42" i="3"/>
  <c r="Q41" i="3"/>
  <c r="Q40" i="3"/>
  <c r="Q38" i="3"/>
  <c r="K37" i="3"/>
  <c r="Q36" i="3"/>
  <c r="J35" i="3"/>
  <c r="Q35" i="3" s="1"/>
  <c r="Q34" i="3"/>
  <c r="Q33" i="3"/>
  <c r="M28" i="3"/>
  <c r="M57" i="3" s="1"/>
  <c r="I28" i="3"/>
  <c r="H28" i="3"/>
  <c r="G28" i="3"/>
  <c r="F28" i="3"/>
  <c r="E28" i="3"/>
  <c r="D28" i="3"/>
  <c r="C28" i="3"/>
  <c r="B28" i="3"/>
  <c r="Q27" i="3"/>
  <c r="M26" i="3"/>
  <c r="N26" i="3" s="1"/>
  <c r="N28" i="3" s="1"/>
  <c r="N57" i="3" s="1"/>
  <c r="K25" i="3"/>
  <c r="Q25" i="3" s="1"/>
  <c r="P24" i="3"/>
  <c r="O24" i="3"/>
  <c r="N24" i="3"/>
  <c r="M24" i="3"/>
  <c r="K24" i="3"/>
  <c r="L24" i="3" s="1"/>
  <c r="Q23" i="3"/>
  <c r="Q22" i="3"/>
  <c r="Q21" i="3"/>
  <c r="Q20" i="3"/>
  <c r="P19" i="3"/>
  <c r="Q19" i="3" s="1"/>
  <c r="O19" i="3"/>
  <c r="N19" i="3"/>
  <c r="M19" i="3"/>
  <c r="L19" i="3"/>
  <c r="K19" i="3"/>
  <c r="K47" i="3" s="1"/>
  <c r="Q47" i="3" s="1"/>
  <c r="Q18" i="3"/>
  <c r="Q17" i="3"/>
  <c r="Q16" i="3"/>
  <c r="Q15" i="3"/>
  <c r="Q14" i="3"/>
  <c r="Q13" i="3"/>
  <c r="Q12" i="3"/>
  <c r="L11" i="3"/>
  <c r="K11" i="3"/>
  <c r="J11" i="3"/>
  <c r="J28" i="3" s="1"/>
  <c r="Q10" i="3"/>
  <c r="P9" i="3"/>
  <c r="O9" i="3"/>
  <c r="N9" i="3"/>
  <c r="M9" i="3"/>
  <c r="L9" i="3"/>
  <c r="L28" i="3" s="1"/>
  <c r="K9" i="3"/>
  <c r="K28" i="3" s="1"/>
  <c r="P8" i="3"/>
  <c r="P28" i="3" s="1"/>
  <c r="P57" i="3" s="1"/>
  <c r="O8" i="3"/>
  <c r="O28" i="3" s="1"/>
  <c r="O57" i="3" s="1"/>
  <c r="N8" i="3"/>
  <c r="M8" i="3"/>
  <c r="Q8" i="3" s="1"/>
  <c r="Q7" i="3"/>
  <c r="J7" i="3"/>
  <c r="Q6" i="3"/>
  <c r="Q5" i="3"/>
  <c r="L57" i="3" l="1"/>
  <c r="G47" i="1"/>
  <c r="K56" i="3"/>
  <c r="K57" i="3"/>
  <c r="H49" i="1"/>
  <c r="H44" i="1"/>
  <c r="H59" i="1" s="1"/>
  <c r="N47" i="1"/>
  <c r="B41" i="1"/>
  <c r="B48" i="1"/>
  <c r="E47" i="1"/>
  <c r="E49" i="1" s="1"/>
  <c r="E44" i="1"/>
  <c r="G41" i="1"/>
  <c r="G44" i="1" s="1"/>
  <c r="G59" i="1" s="1"/>
  <c r="G48" i="1"/>
  <c r="N27" i="1"/>
  <c r="F47" i="1"/>
  <c r="F49" i="1" s="1"/>
  <c r="F44" i="1"/>
  <c r="F59" i="1" s="1"/>
  <c r="C41" i="1"/>
  <c r="C44" i="1" s="1"/>
  <c r="C59" i="1" s="1"/>
  <c r="N28" i="1"/>
  <c r="Q37" i="3"/>
  <c r="Q9" i="3"/>
  <c r="Q24" i="3"/>
  <c r="N31" i="1"/>
  <c r="I47" i="1"/>
  <c r="I49" i="1" s="1"/>
  <c r="J39" i="3"/>
  <c r="M44" i="1"/>
  <c r="M59" i="1" s="1"/>
  <c r="N53" i="1"/>
  <c r="B44" i="2"/>
  <c r="D44" i="1"/>
  <c r="D59" i="1" s="1"/>
  <c r="H48" i="1"/>
  <c r="C44" i="2"/>
  <c r="C46" i="2" s="1"/>
  <c r="D44" i="2"/>
  <c r="D46" i="2" s="1"/>
  <c r="B41" i="2"/>
  <c r="Q11" i="3"/>
  <c r="Q28" i="3" s="1"/>
  <c r="Q26" i="3"/>
  <c r="N48" i="1" l="1"/>
  <c r="B49" i="1"/>
  <c r="B58" i="2"/>
  <c r="G41" i="2"/>
  <c r="B44" i="1"/>
  <c r="N41" i="1"/>
  <c r="Q39" i="3"/>
  <c r="Q56" i="3" s="1"/>
  <c r="Q57" i="3" s="1"/>
  <c r="J56" i="3"/>
  <c r="G49" i="1"/>
  <c r="G44" i="2"/>
  <c r="B46" i="2"/>
  <c r="B59" i="1" l="1"/>
  <c r="N44" i="1"/>
  <c r="B62" i="2"/>
  <c r="B63" i="2" s="1"/>
  <c r="C61" i="2" s="1"/>
  <c r="C63" i="2" s="1"/>
  <c r="D61" i="2" s="1"/>
  <c r="D47" i="2"/>
  <c r="G46" i="2"/>
  <c r="E50" i="1"/>
  <c r="N49" i="1"/>
  <c r="N50" i="1" l="1"/>
  <c r="E59" i="1"/>
  <c r="G47" i="2"/>
  <c r="D58" i="2"/>
  <c r="N59" i="1"/>
  <c r="D62" i="2" l="1"/>
  <c r="D63" i="2" s="1"/>
  <c r="E61" i="2" s="1"/>
  <c r="E63" i="2" s="1"/>
  <c r="F61" i="2" s="1"/>
  <c r="F63" i="2" s="1"/>
  <c r="G5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L9" authorId="0" shapeId="0" xr:uid="{00000000-0006-0000-0200-00000A000000}">
      <text>
        <r>
          <rPr>
            <sz val="10"/>
            <rFont val="Arial"/>
            <family val="2"/>
          </rPr>
          <t>Corregit: 800 € gestio + 80 € material + 21% IVA = 1.064,80 €. Coincideix amb el cobrament real de l'11/08/2026 (FATIR190175046).</t>
        </r>
      </text>
    </comment>
    <comment ref="L33" authorId="0" shapeId="0" xr:uid="{00000000-0006-0000-0200-00000B000000}">
      <text>
        <r>
          <rPr>
            <sz val="10"/>
            <rFont val="Arial"/>
            <family val="2"/>
          </rPr>
          <t>Cobrat 11/08/2026 — FATIR190175044 +1.815,00 €</t>
        </r>
      </text>
    </comment>
    <comment ref="L36" authorId="0" shapeId="0" xr:uid="{00000000-0006-0000-0200-00000C000000}">
      <text>
        <r>
          <rPr>
            <sz val="10"/>
            <rFont val="Arial"/>
            <family val="2"/>
          </rPr>
          <t>PENDENT. Esperat 834,90 €. Extracte revisat fins 20/08/2026.</t>
        </r>
      </text>
    </comment>
    <comment ref="K37" authorId="0" shapeId="0" xr:uid="{00000000-0006-0000-0200-000001000000}">
      <text>
        <r>
          <rPr>
            <sz val="10"/>
            <rFont val="Arial"/>
            <family val="2"/>
          </rPr>
          <t>Cobrat 02/07/2026 en dos apunts FATIR: 786,50 € + 181,50 € = 968,00 €</t>
        </r>
      </text>
    </comment>
    <comment ref="L37" authorId="0" shapeId="0" xr:uid="{00000000-0006-0000-0200-00000D000000}">
      <text>
        <r>
          <rPr>
            <sz val="10"/>
            <rFont val="Arial"/>
            <family val="2"/>
          </rPr>
          <t>Cobrat 11/08/2026 — FATIR190175046 +1.064,80 €. ATENCIO: previst a la taula 968,00 €; el real es 1.064,80 € (800 € + IVA segons contracte). Revisar la previsio.</t>
        </r>
      </text>
    </comment>
    <comment ref="L38" authorId="0" shapeId="0" xr:uid="{00000000-0006-0000-0200-00000E000000}">
      <text>
        <r>
          <rPr>
            <sz val="10"/>
            <rFont val="Arial"/>
            <family val="2"/>
          </rPr>
          <t>Cobrat 31/07/2026 (avancat) — TRASPASO +217,80 €</t>
        </r>
      </text>
    </comment>
    <comment ref="K39" authorId="0" shapeId="0" xr:uid="{00000000-0006-0000-0200-000002000000}">
      <text>
        <r>
          <rPr>
            <sz val="10"/>
            <rFont val="Arial"/>
            <family val="2"/>
          </rPr>
          <t>Cobrat 07/07/2026 — TRANSFER INMEDIATA Montse Ciudad Roca +363,00 €</t>
        </r>
      </text>
    </comment>
    <comment ref="L39" authorId="0" shapeId="0" xr:uid="{00000000-0006-0000-0200-00000F000000}">
      <text>
        <r>
          <rPr>
            <sz val="10"/>
            <color rgb="FF000000"/>
            <rFont val="Arial"/>
            <family val="2"/>
          </rPr>
          <t>PENDENT. Esperat 877,00 €. Extracte revisat fins 20/08/2026.</t>
        </r>
      </text>
    </comment>
    <comment ref="K41" authorId="0" shapeId="0" xr:uid="{00000000-0006-0000-0200-000003000000}">
      <text>
        <r>
          <rPr>
            <sz val="10"/>
            <color rgb="FF000000"/>
            <rFont val="Arial"/>
            <family val="2"/>
          </rPr>
          <t>PAGAT. Al banc 217,80 € el 07/07 (ZANON CASTILLO CELIA). Registrat a 217,00 € per coherencia amb la resta de la fila.</t>
        </r>
      </text>
    </comment>
    <comment ref="L41" authorId="0" shapeId="0" xr:uid="{00000000-0006-0000-0200-000010000000}">
      <text>
        <r>
          <rPr>
            <sz val="10"/>
            <color rgb="FF000000"/>
            <rFont val="Arial"/>
            <family val="2"/>
          </rPr>
          <t>PENDENT. Esperat 217,00 €. Extracte revisat fins 20/08/2026.</t>
        </r>
      </text>
    </comment>
    <comment ref="K42" authorId="0" shapeId="0" xr:uid="{00000000-0006-0000-0200-000004000000}">
      <text>
        <r>
          <rPr>
            <sz val="10"/>
            <rFont val="Arial"/>
            <family val="2"/>
          </rPr>
          <t>TRASPASO 05/07/2026 de 1.089,00 € = GMS Basket 544,50 € + GMS Futbol 544,50 €</t>
        </r>
      </text>
    </comment>
    <comment ref="K44" authorId="0" shapeId="0" xr:uid="{00000000-0006-0000-0200-000005000000}">
      <text>
        <r>
          <rPr>
            <sz val="10"/>
            <rFont val="Arial"/>
            <family val="2"/>
          </rPr>
          <t>Cobrat en dos apunts FATIR: 423,50 € (22/07) + 121,00 € (23/07) = 544,50 €</t>
        </r>
      </text>
    </comment>
    <comment ref="L44" authorId="0" shapeId="0" xr:uid="{00000000-0006-0000-0200-000011000000}">
      <text>
        <r>
          <rPr>
            <sz val="10"/>
            <rFont val="Arial"/>
            <family val="2"/>
          </rPr>
          <t>Cobrat 10/08/2026 — FATIR190175045 +544,50 € (pagament unic, no fraccionat)</t>
        </r>
      </text>
    </comment>
    <comment ref="L45" authorId="0" shapeId="0" xr:uid="{00000000-0006-0000-0200-000012000000}">
      <text>
        <r>
          <rPr>
            <sz val="10"/>
            <rFont val="Arial"/>
            <family val="2"/>
          </rPr>
          <t>Cobrat 31/07/2026 (avancat) — TRANSFER INMEDIATA K-BROTHERS CROSSFIT SL +338,80 €</t>
        </r>
      </text>
    </comment>
    <comment ref="L46" authorId="0" shapeId="0" xr:uid="{00000000-0006-0000-0200-000013000000}">
      <text>
        <r>
          <rPr>
            <sz val="10"/>
            <rFont val="Arial"/>
            <family val="2"/>
          </rPr>
          <t>Cobrat 04/08/2026 — TRASPASO +1.270,50 €</t>
        </r>
      </text>
    </comment>
    <comment ref="L47" authorId="0" shapeId="0" xr:uid="{00000000-0006-0000-0200-000014000000}">
      <text>
        <r>
          <rPr>
            <sz val="10"/>
            <color rgb="FF000000"/>
            <rFont val="Arial"/>
            <family val="2"/>
          </rPr>
          <t>PENDENT. Esperat 544,50 €. Extracte revisat fins 20/08/2026.</t>
        </r>
      </text>
    </comment>
    <comment ref="K48" authorId="0" shapeId="0" xr:uid="{00000000-0006-0000-0200-000006000000}">
      <text>
        <r>
          <rPr>
            <sz val="10"/>
            <color rgb="FF000000"/>
            <rFont val="Arial"/>
            <family val="2"/>
          </rPr>
          <t>Efectiu — no consta a l'extracte bancari</t>
        </r>
      </text>
    </comment>
    <comment ref="L48" authorId="0" shapeId="0" xr:uid="{00000000-0006-0000-0200-000015000000}">
      <text>
        <r>
          <rPr>
            <sz val="10"/>
            <color rgb="FF000000"/>
            <rFont val="Arial"/>
            <family val="2"/>
          </rPr>
          <t>PENDENT. Esperat 400,00 € en efectiu — no apareix a l'extracte bancari.</t>
        </r>
      </text>
    </comment>
    <comment ref="L49" authorId="0" shapeId="0" xr:uid="{00000000-0006-0000-0200-000016000000}">
      <text>
        <r>
          <rPr>
            <sz val="10"/>
            <color rgb="FF000000"/>
            <rFont val="Arial"/>
            <family val="2"/>
          </rPr>
          <t>PENDENT. Esperat 605,00 €. Extracte revisat fins 20/08/2026.</t>
        </r>
      </text>
    </comment>
    <comment ref="L50" authorId="0" shapeId="0" xr:uid="{00000000-0006-0000-0200-000017000000}">
      <text>
        <r>
          <rPr>
            <sz val="10"/>
            <rFont val="Arial"/>
            <family val="2"/>
          </rPr>
          <t>Sense import previst per a agost: el cobrament s'ha traslladat a setembre (1.089,00 €).</t>
        </r>
      </text>
    </comment>
    <comment ref="L51" authorId="0" shapeId="0" xr:uid="{00000000-0006-0000-0200-000018000000}">
      <text>
        <r>
          <rPr>
            <sz val="10"/>
            <color rgb="FF000000"/>
            <rFont val="Arial"/>
            <family val="2"/>
          </rPr>
          <t>Cobrat 10/08/2026 — TRANSFER INMEDIATA ODICEAN EXPEDITIONS S.L. +266,20 €</t>
        </r>
      </text>
    </comment>
    <comment ref="K52" authorId="0" shapeId="0" xr:uid="{00000000-0006-0000-0200-000007000000}">
      <text>
        <r>
          <rPr>
            <sz val="10"/>
            <rFont val="Arial"/>
            <family val="2"/>
          </rPr>
          <t>PAGAT. Confirmat per direccio. Al banc: 600,00 € el 18/07 (FONT FONTSECA SL); la resta (126,00 €) es dona per cobrada.</t>
        </r>
      </text>
    </comment>
    <comment ref="L52" authorId="0" shapeId="0" xr:uid="{00000000-0006-0000-0200-000019000000}">
      <text>
        <r>
          <rPr>
            <sz val="10"/>
            <color rgb="FF000000"/>
            <rFont val="Arial"/>
            <family val="2"/>
          </rPr>
          <t>PENDENT. Esperat 726,00 €. Extracte revisat fins 20/08/2026.</t>
        </r>
      </text>
    </comment>
    <comment ref="K53" authorId="0" shapeId="0" xr:uid="{00000000-0006-0000-0200-000008000000}">
      <text>
        <r>
          <rPr>
            <sz val="10"/>
            <rFont val="Arial"/>
            <family val="2"/>
          </rPr>
          <t>PAGAT. Confirmat per direccio. Al banc: 2 transferencies de 968,00 € el 23/07 (MARC CUCURELLA SASETA) = 1.936,00 €.</t>
        </r>
      </text>
    </comment>
    <comment ref="L54" authorId="0" shapeId="0" xr:uid="{00000000-0006-0000-0200-00001A000000}">
      <text>
        <r>
          <rPr>
            <sz val="10"/>
            <rFont val="Arial"/>
            <family val="2"/>
          </rPr>
          <t>Sense import previst per a agost: el cobrament s'ha traslladat a setembre (726,00 €).</t>
        </r>
      </text>
    </comment>
    <comment ref="K55" authorId="0" shapeId="0" xr:uid="{00000000-0006-0000-0200-000009000000}">
      <text>
        <r>
          <rPr>
            <sz val="10"/>
            <rFont val="Arial"/>
            <family val="2"/>
          </rPr>
          <t>Juliol tancat: sense import previst per a Sprinter.</t>
        </r>
      </text>
    </comment>
    <comment ref="L55" authorId="0" shapeId="0" xr:uid="{00000000-0006-0000-0200-00001B000000}">
      <text>
        <r>
          <rPr>
            <sz val="10"/>
            <color rgb="FF000000"/>
            <rFont val="Arial"/>
            <family val="2"/>
          </rPr>
          <t>PENDENT. Esperat 3.327,50 €. Extracte revisat fins 20/08/2026.</t>
        </r>
      </text>
    </comment>
  </commentList>
</comments>
</file>

<file path=xl/sharedStrings.xml><?xml version="1.0" encoding="utf-8"?>
<sst xmlns="http://schemas.openxmlformats.org/spreadsheetml/2006/main" count="585" uniqueCount="204">
  <si>
    <t>21DAYS — CONTABILITAT ANUAL 2026</t>
  </si>
  <si>
    <t>21DAYS ·  Agència de contingut orgànic vertical per a xarxes socials  ·  Gener–Desembre 2026</t>
  </si>
  <si>
    <t>CONCEPTE</t>
  </si>
  <si>
    <t>GEN</t>
  </si>
  <si>
    <t>FEB</t>
  </si>
  <si>
    <t>MAR</t>
  </si>
  <si>
    <t>ABR</t>
  </si>
  <si>
    <t>MAI</t>
  </si>
  <si>
    <t>JUN</t>
  </si>
  <si>
    <t>JUL</t>
  </si>
  <si>
    <t>AGO</t>
  </si>
  <si>
    <t>SET</t>
  </si>
  <si>
    <t>OCT</t>
  </si>
  <si>
    <t>NOV</t>
  </si>
  <si>
    <t>DES</t>
  </si>
  <si>
    <t>TOTAL ANY</t>
  </si>
  <si>
    <t>Dermaesthetic</t>
  </si>
  <si>
    <t>Tekstila</t>
  </si>
  <si>
    <t>Latremenda</t>
  </si>
  <si>
    <t>Mireia Jubany</t>
  </si>
  <si>
    <t>Krepsinnova</t>
  </si>
  <si>
    <t>Mossmatcha</t>
  </si>
  <si>
    <t>Jaume Rey</t>
  </si>
  <si>
    <t>Nexiona</t>
  </si>
  <si>
    <t>Mims</t>
  </si>
  <si>
    <t>Projecte influencers</t>
  </si>
  <si>
    <t>Dra Nogueres</t>
  </si>
  <si>
    <t>GMS Basket</t>
  </si>
  <si>
    <t>GMS Futbol</t>
  </si>
  <si>
    <t>Elnouceller</t>
  </si>
  <si>
    <t>KBcrossfit</t>
  </si>
  <si>
    <t>Kevin Campos</t>
  </si>
  <si>
    <t>Celia Zanon</t>
  </si>
  <si>
    <t>Odicean</t>
  </si>
  <si>
    <t>Luba Company</t>
  </si>
  <si>
    <t>Claudia Rodriguez</t>
  </si>
  <si>
    <t>Olympo Box</t>
  </si>
  <si>
    <t>Montse Fontseca</t>
  </si>
  <si>
    <t>Extres ingressos  ↓ detall baix</t>
  </si>
  <si>
    <t>TOTAL INGRESSOS</t>
  </si>
  <si>
    <t>Nòmines (Aina+Adri)</t>
  </si>
  <si>
    <t>Oficina</t>
  </si>
  <si>
    <t>Gestoria</t>
  </si>
  <si>
    <t>Autonom Adri (TGSS)</t>
  </si>
  <si>
    <t>Autonom Aina (TGSS)</t>
  </si>
  <si>
    <t>Softwares</t>
  </si>
  <si>
    <t>Equip (edició/disseny)</t>
  </si>
  <si>
    <t>Extres  ↓ detall baix</t>
  </si>
  <si>
    <t>Envios DKSide</t>
  </si>
  <si>
    <t>Producció DKSide</t>
  </si>
  <si>
    <t>TOTAL COSTOS</t>
  </si>
  <si>
    <t>Benefici brut (ingressos – costos)</t>
  </si>
  <si>
    <t>IVA repercutit (21% s/ingressos clients)</t>
  </si>
  <si>
    <t>IVA suportat deduïble (costos amb IVA × 21/121)</t>
  </si>
  <si>
    <t>IVA net mensual (a liquidar trimestralment)</t>
  </si>
  <si>
    <t>LIQUIDACIÓ IVA (pagat GEN / ABR / JUL / OCT)</t>
  </si>
  <si>
    <t>Aina Viciano — retenc. 15%</t>
  </si>
  <si>
    <t>Adri Dorca — retenc. 15%</t>
  </si>
  <si>
    <t>Marina Camp — retenc. 15%</t>
  </si>
  <si>
    <t>LIQUIDACIÓ IRPF (pagat ABR / JUL / OCT)</t>
  </si>
  <si>
    <t>BENEFICI NET (després IVA + IRPF)</t>
  </si>
  <si>
    <t>DETALL EXTRES INGRESSOS</t>
  </si>
  <si>
    <t>Extres Febrer 26</t>
  </si>
  <si>
    <t xml:space="preserve">  Extres febrer</t>
  </si>
  <si>
    <t>Extres Març 26</t>
  </si>
  <si>
    <t xml:space="preserve">  Extres març</t>
  </si>
  <si>
    <t>Extres Abril 26</t>
  </si>
  <si>
    <t xml:space="preserve">  Extres abril</t>
  </si>
  <si>
    <t>Extres Maig 26</t>
  </si>
  <si>
    <t xml:space="preserve">  Altres extres</t>
  </si>
  <si>
    <t>Extres Juny 26</t>
  </si>
  <si>
    <t xml:space="preserve">  Web Mims (50% pagament)</t>
  </si>
  <si>
    <t>Extres Juliol 26</t>
  </si>
  <si>
    <t xml:space="preserve">  (sense extres d'ingressos al juliol)</t>
  </si>
  <si>
    <t>DETALL EXTRES GASTOS</t>
  </si>
  <si>
    <t>Extres Gener 26</t>
  </si>
  <si>
    <t>EQUIP JULIOL 26</t>
  </si>
  <si>
    <t>* excepció vacances (normalment 01/08)</t>
  </si>
  <si>
    <t xml:space="preserve">  Klarna shein DKSide</t>
  </si>
  <si>
    <t xml:space="preserve">  Marina Camp FR-2026023 — mes juny (1.200€+IVA)</t>
  </si>
  <si>
    <t xml:space="preserve">  Amazon bosses</t>
  </si>
  <si>
    <t xml:space="preserve">  Lidia Rodriguez F004 — gestió mes juny</t>
  </si>
  <si>
    <t xml:space="preserve">  Google Drive</t>
  </si>
  <si>
    <t xml:space="preserve">  Marta Cumplido #140626 — reels mes juny</t>
  </si>
  <si>
    <t xml:space="preserve">  Parking</t>
  </si>
  <si>
    <t xml:space="preserve">  Marina Camp FR-2026024 — pack podcasts Claudia</t>
  </si>
  <si>
    <t xml:space="preserve">  Recibos varios</t>
  </si>
  <si>
    <t xml:space="preserve">  Marina Camp FR-2026025 — pack podcasts Claudia 2</t>
  </si>
  <si>
    <t xml:space="preserve">  Sillas Sklum</t>
  </si>
  <si>
    <t xml:space="preserve">  Marina Camp FR-2026026 — mes juliol (1.200€+IVA)*</t>
  </si>
  <si>
    <t xml:space="preserve">  Lidia Rodriguez — gestió mes juliol*</t>
  </si>
  <si>
    <t xml:space="preserve">  Marta Cumplido #140726 — reels mes juliol*</t>
  </si>
  <si>
    <t xml:space="preserve">  Focos Amazon</t>
  </si>
  <si>
    <t xml:space="preserve">  Devolució Amazon</t>
  </si>
  <si>
    <t xml:space="preserve">  Klarna shein</t>
  </si>
  <si>
    <t xml:space="preserve">  Carlos LinkedIn setup</t>
  </si>
  <si>
    <t xml:space="preserve">  Shopify comissions</t>
  </si>
  <si>
    <t xml:space="preserve">  IKEA oficina</t>
  </si>
  <si>
    <t xml:space="preserve">  Dolce Vita</t>
  </si>
  <si>
    <t xml:space="preserve">  Gestoria Roy notaria</t>
  </si>
  <si>
    <t xml:space="preserve">  Devolució Marc (sense IVA)</t>
  </si>
  <si>
    <t xml:space="preserve">  Recibos Shopify</t>
  </si>
  <si>
    <t xml:space="preserve">  Pinmat</t>
  </si>
  <si>
    <t xml:space="preserve">  Tejidos Mounir</t>
  </si>
  <si>
    <t xml:space="preserve">  Booking hotel</t>
  </si>
  <si>
    <t xml:space="preserve">  Repsol gasolina</t>
  </si>
  <si>
    <t xml:space="preserve">  Gestió Ads (Raul)</t>
  </si>
  <si>
    <t xml:space="preserve">  Extres (sense IVA)</t>
  </si>
  <si>
    <t xml:space="preserve">  O2 Mòvil</t>
  </si>
  <si>
    <t xml:space="preserve">  Giro factures (sense IVA)</t>
  </si>
  <si>
    <t xml:space="preserve">  Parking (sense IVA)</t>
  </si>
  <si>
    <t xml:space="preserve">  Vueling</t>
  </si>
  <si>
    <t xml:space="preserve">  Gestió Ads Raul+extern</t>
  </si>
  <si>
    <t xml:space="preserve">  Ordinador+micros</t>
  </si>
  <si>
    <t xml:space="preserve">  Menjar</t>
  </si>
  <si>
    <t xml:space="preserve">  Vueling+Booking+Aena</t>
  </si>
  <si>
    <t xml:space="preserve">  Extres</t>
  </si>
  <si>
    <t xml:space="preserve">  Gestió Ads (Raul - HESL)</t>
  </si>
  <si>
    <t xml:space="preserve">  Mercadona</t>
  </si>
  <si>
    <t xml:space="preserve">  Complutel Mataró</t>
  </si>
  <si>
    <t xml:space="preserve">  Comissions bancàries (sense IVA)</t>
  </si>
  <si>
    <t xml:space="preserve">  Instal·lacions Pinmo — electricitat i AC oficina</t>
  </si>
  <si>
    <t xml:space="preserve">  Amazon — material oficina (×2)</t>
  </si>
  <si>
    <t xml:space="preserve">  IKEA Badalona — mobiliari oficina</t>
  </si>
  <si>
    <t xml:space="preserve">  Teixits Pulido</t>
  </si>
  <si>
    <t xml:space="preserve">  Copisteria Prims</t>
  </si>
  <si>
    <t xml:space="preserve">  Hasta En La Sopa — Gestió Ads (Raul)</t>
  </si>
  <si>
    <t>21DAYS — PREVISIÓ DE CAIXA 2026 (Agost–Desembre)</t>
  </si>
  <si>
    <t>21days · Agència de contingut orgànic · Caixa inicial AGO: 28.582,80€ (saldo real banc 8/08/2026) · IVA i IRPF calculats automàticament · Previsió, no valors reals</t>
  </si>
  <si>
    <t>INGRESSOS PREVISTOS</t>
  </si>
  <si>
    <t>TOTAL (Ago–Des)</t>
  </si>
  <si>
    <t>Mims (redes)</t>
  </si>
  <si>
    <t>Olympo Box Granollers</t>
  </si>
  <si>
    <t>Monica Fontseca</t>
  </si>
  <si>
    <t>Mari Carmen Reformas</t>
  </si>
  <si>
    <t>Sprinter x Violeta</t>
  </si>
  <si>
    <t>COSTOS PREVISTOS  ⚠ Nòmines: pago el 1r del mes SEGÜENT</t>
  </si>
  <si>
    <t>Nòmines (paga 1r mes seg.)</t>
  </si>
  <si>
    <t>Oficina (aguas, menjar...)</t>
  </si>
  <si>
    <t>Marina Camp (1.200€+IVA)</t>
  </si>
  <si>
    <t>Lidia Rodriguez (550€+IVA)</t>
  </si>
  <si>
    <t>Edició vídeo (400€+IVA)</t>
  </si>
  <si>
    <t>Extres previsió (600€ aprox)</t>
  </si>
  <si>
    <t>IVA — CALCULAT AUTOMÀTICAMENT</t>
  </si>
  <si>
    <t>IVA repercutit (21% s/ingressos amb IVA, excl. Jaume Rey)</t>
  </si>
  <si>
    <t>IVA net mensual (acumula per pagar trimestralment)</t>
  </si>
  <si>
    <t>LIQUIDACIÓ IVA  (OCT = Q3: JUL_real + AGO + SET  /  GEN27 = Q4: OCT+NOV+DES)</t>
  </si>
  <si>
    <t>💡 IVA JUL real (801,35€) + AGO previssió + SET previsió = Q3 pagat OCT. Q4 (GEN 2027) = OCT+NOV+DES. JUL net = 2.403,11 rep - 1.601,76 sup = 801,35€</t>
  </si>
  <si>
    <t>IRPF — RETENCIONS PROVEÏDORS</t>
  </si>
  <si>
    <t>Aina Viciano — retenc. 15% s/nòmina</t>
  </si>
  <si>
    <t>Adri Dorca — retenc. 15% s/nòmina</t>
  </si>
  <si>
    <t>Marina Camp — retenc. 7% s/base fac.</t>
  </si>
  <si>
    <t>Lidia Rodriguez — retenc. 15% s/base</t>
  </si>
  <si>
    <t>LIQUIDACIÓ IRPF  (OCT = Q3: JUL_real + AGO + SET  /  GEN27 = Q4)</t>
  </si>
  <si>
    <t>💡 IRPF JUL real (534€: Aina 225+Adri 225+Marina 84) + AGO previsió + SET previsió = Q3 pagat OCT. JUL IRPF pagat real: 2.097,77€ (Q2)</t>
  </si>
  <si>
    <t>FLUX DE CAIXA PREVISIONAL</t>
  </si>
  <si>
    <t>Caixa inici de mes  (AGO real: saldo bancari 8/08/2026)</t>
  </si>
  <si>
    <t>(+) Benefici net del mes</t>
  </si>
  <si>
    <t>CAIXA FINAL DE MES</t>
  </si>
  <si>
    <t>DETALL EXTRES GASTOS PREVISIONALS</t>
  </si>
  <si>
    <t>Extres Agost 26</t>
  </si>
  <si>
    <t xml:space="preserve">  Ads Raul — Hasta En La Sopa (2a meitat)</t>
  </si>
  <si>
    <t xml:space="preserve">  Producció packaging Sprinter (3.000€+IVA)</t>
  </si>
  <si>
    <t xml:space="preserve">  Formació Aina+Adri (1.300€+IVA)</t>
  </si>
  <si>
    <t>Extres Setembre 26</t>
  </si>
  <si>
    <t>Extres Octubre 26</t>
  </si>
  <si>
    <t>Extres Novembre 26</t>
  </si>
  <si>
    <t>Extres Desembre 26</t>
  </si>
  <si>
    <t>21DAYS — CONTROL DE COBRAMENTS 2025–2026</t>
  </si>
  <si>
    <t>21days  ·  Agència de màrqueting especialitzada en contingut orgànic vertical per a xarxes socials</t>
  </si>
  <si>
    <t>QUÈ ESPEREM COBRAR</t>
  </si>
  <si>
    <t>CLIENT</t>
  </si>
  <si>
    <t>oct-25</t>
  </si>
  <si>
    <t>nov-25</t>
  </si>
  <si>
    <t>des-25</t>
  </si>
  <si>
    <t>gen-26</t>
  </si>
  <si>
    <t>feb-26</t>
  </si>
  <si>
    <t>mar-26</t>
  </si>
  <si>
    <t>abr-26</t>
  </si>
  <si>
    <t>mai-26</t>
  </si>
  <si>
    <t>jun-26</t>
  </si>
  <si>
    <t>jul-26</t>
  </si>
  <si>
    <t>ago-26</t>
  </si>
  <si>
    <t>set-26</t>
  </si>
  <si>
    <t>oct-26</t>
  </si>
  <si>
    <t>nov-26</t>
  </si>
  <si>
    <t>des-26</t>
  </si>
  <si>
    <t>TOTAL</t>
  </si>
  <si>
    <t>Kreps Innova</t>
  </si>
  <si>
    <t>Proj. influencers</t>
  </si>
  <si>
    <t>Reformas San Marín</t>
  </si>
  <si>
    <t>Sprinter</t>
  </si>
  <si>
    <t>TOTAL ESPERAT</t>
  </si>
  <si>
    <t>ESTAT DE COBRAMENTS  (verd = cobrat  |  vermell = pendent  |  taronja = parcial  |  gris = no aplica)   ·   Actualitzat amb extracte CaixaBank fins 20/08/2026</t>
  </si>
  <si>
    <t>COBRAT</t>
  </si>
  <si>
    <t>...</t>
  </si>
  <si>
    <t>X</t>
  </si>
  <si>
    <t>Aquí torna</t>
  </si>
  <si>
    <t>PENDENT</t>
  </si>
  <si>
    <t>…</t>
  </si>
  <si>
    <t>Montse fontseca</t>
  </si>
  <si>
    <t>falta pago</t>
  </si>
  <si>
    <t>TOTAL COBRAT</t>
  </si>
  <si>
    <t>PENDENT DE COBRAR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</si>
</sst>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#,##0&quot; €&quot;;[Red]\-#,##0&quot; €&quot;"/>
  </numFmts>
  <fonts count="41" x14ac:knownFonts="1">
    <font>
      <sz val="12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Calibri"/>
      <family val="2"/>
      <charset val="1"/>
    </font>
    <font>
      <i/>
      <sz val="9"/>
      <color rgb="FF888888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9"/>
      <color rgb="FF999999"/>
      <name val="Calibri"/>
      <family val="2"/>
      <charset val="1"/>
    </font>
    <font>
      <b/>
      <sz val="10"/>
      <color rgb="FF1B5E20"/>
      <name val="Calibri"/>
      <family val="2"/>
      <charset val="1"/>
    </font>
    <font>
      <b/>
      <sz val="10"/>
      <color rgb="FF7B3F00"/>
      <name val="Calibri"/>
      <family val="2"/>
      <charset val="1"/>
    </font>
    <font>
      <b/>
      <sz val="10"/>
      <color rgb="FFBF360C"/>
      <name val="Calibri"/>
      <family val="2"/>
      <charset val="1"/>
    </font>
    <font>
      <i/>
      <sz val="10"/>
      <color rgb="FFBF360C"/>
      <name val="Calibri"/>
      <family val="2"/>
      <charset val="1"/>
    </font>
    <font>
      <sz val="10"/>
      <color rgb="FFBF360C"/>
      <name val="Calibri"/>
      <family val="2"/>
      <charset val="1"/>
    </font>
    <font>
      <b/>
      <sz val="10"/>
      <color rgb="FF000000"/>
      <name val="Calibri"/>
      <family val="2"/>
      <charset val="1"/>
    </font>
    <font>
      <b/>
      <sz val="10"/>
      <color rgb="FFFFD700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AAAAAA"/>
      <name val="Calibri"/>
      <family val="2"/>
      <charset val="1"/>
    </font>
    <font>
      <b/>
      <sz val="9"/>
      <color rgb="FFFFFFFF"/>
      <name val="Calibri"/>
      <family val="2"/>
      <charset val="1"/>
    </font>
    <font>
      <sz val="8"/>
      <color rgb="FFCCCCCC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color rgb="FF003388"/>
      <name val="Calibri"/>
      <family val="2"/>
      <charset val="1"/>
    </font>
    <font>
      <sz val="9"/>
      <color rgb="FF994400"/>
      <name val="Calibri"/>
      <family val="2"/>
      <charset val="1"/>
    </font>
    <font>
      <sz val="8"/>
      <color rgb="FF888888"/>
      <name val="Calibri"/>
      <family val="2"/>
      <charset val="1"/>
    </font>
    <font>
      <sz val="10"/>
      <color rgb="FF000055"/>
      <name val="Calibri"/>
      <family val="2"/>
      <charset val="1"/>
    </font>
    <font>
      <sz val="10"/>
      <color rgb="FF994400"/>
      <name val="Calibri"/>
      <family val="2"/>
      <charset val="1"/>
    </font>
    <font>
      <sz val="10"/>
      <color rgb="FF888888"/>
      <name val="Calibri"/>
      <family val="2"/>
      <charset val="1"/>
    </font>
    <font>
      <sz val="10"/>
      <color rgb="FF7B3F00"/>
      <name val="Calibri"/>
      <family val="2"/>
      <charset val="1"/>
    </font>
    <font>
      <sz val="10"/>
      <color theme="1"/>
      <name val="Calibri"/>
      <family val="2"/>
      <charset val="1"/>
    </font>
    <font>
      <sz val="10"/>
      <color rgb="FF0F3460"/>
      <name val="Calibri"/>
      <family val="2"/>
      <charset val="1"/>
    </font>
    <font>
      <b/>
      <sz val="10"/>
      <color rgb="FF0F3460"/>
      <name val="Calibri"/>
      <family val="2"/>
      <charset val="1"/>
    </font>
    <font>
      <sz val="10"/>
      <color rgb="FF6D2D00"/>
      <name val="Calibri"/>
      <family val="2"/>
      <charset val="1"/>
    </font>
    <font>
      <b/>
      <sz val="10"/>
      <color rgb="FF6D2D00"/>
      <name val="Calibri"/>
      <family val="2"/>
      <charset val="1"/>
    </font>
    <font>
      <sz val="8"/>
      <color rgb="FF444444"/>
      <name val="Calibri"/>
      <family val="2"/>
      <charset val="1"/>
    </font>
    <font>
      <i/>
      <sz val="9"/>
      <color rgb="FFAAAAAA"/>
      <name val="Calibri"/>
      <family val="2"/>
      <charset val="1"/>
    </font>
    <font>
      <sz val="9"/>
      <color rgb="FFBBBBBB"/>
      <name val="Calibri"/>
      <family val="2"/>
      <charset val="1"/>
    </font>
    <font>
      <b/>
      <sz val="9"/>
      <color rgb="FFB71C1C"/>
      <name val="Calibri"/>
      <family val="2"/>
      <charset val="1"/>
    </font>
    <font>
      <sz val="9"/>
      <color rgb="FFBBBBBB"/>
      <name val="Calibri"/>
      <family val="2"/>
    </font>
    <font>
      <sz val="10"/>
      <color rgb="FF1B5E20"/>
      <name val="Calibri"/>
      <family val="2"/>
      <charset val="1"/>
    </font>
    <font>
      <b/>
      <sz val="10"/>
      <color theme="0"/>
      <name val="Calibri"/>
      <family val="2"/>
      <charset val="1"/>
    </font>
    <font>
      <sz val="12"/>
      <color theme="0"/>
      <name val="Calibri"/>
      <family val="2"/>
      <charset val="1"/>
    </font>
    <font>
      <sz val="10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263238"/>
        <bgColor rgb="FF2C2C2C"/>
      </patternFill>
    </fill>
    <fill>
      <patternFill patternType="solid">
        <fgColor rgb="FF0D4A2F"/>
        <bgColor rgb="FF1B5E20"/>
      </patternFill>
    </fill>
    <fill>
      <patternFill patternType="solid">
        <fgColor rgb="FFE8F5E9"/>
        <bgColor rgb="FFF1F8E9"/>
      </patternFill>
    </fill>
    <fill>
      <patternFill patternType="solid">
        <fgColor rgb="FFEEEEEE"/>
        <bgColor rgb="FFE8F5E9"/>
      </patternFill>
    </fill>
    <fill>
      <patternFill patternType="solid">
        <fgColor rgb="FFFFF9C4"/>
        <bgColor rgb="FFFFF0CC"/>
      </patternFill>
    </fill>
    <fill>
      <patternFill patternType="solid">
        <fgColor rgb="FF1B5E20"/>
        <bgColor rgb="FF0D4A2F"/>
      </patternFill>
    </fill>
    <fill>
      <patternFill patternType="solid">
        <fgColor rgb="FF6D2D00"/>
        <bgColor rgb="FF7B3F00"/>
      </patternFill>
    </fill>
    <fill>
      <patternFill patternType="solid">
        <fgColor rgb="FFFFF3E0"/>
        <bgColor rgb="FFFFF8E1"/>
      </patternFill>
    </fill>
    <fill>
      <patternFill patternType="solid">
        <fgColor rgb="FFBF360C"/>
        <bgColor rgb="FFB71C1C"/>
      </patternFill>
    </fill>
    <fill>
      <patternFill patternType="solid">
        <fgColor rgb="FF16213E"/>
        <bgColor rgb="FF0D2137"/>
      </patternFill>
    </fill>
    <fill>
      <patternFill patternType="solid">
        <fgColor rgb="FF0F3460"/>
        <bgColor rgb="FF003388"/>
      </patternFill>
    </fill>
    <fill>
      <patternFill patternType="solid">
        <fgColor rgb="FFE3EAF5"/>
        <bgColor rgb="FFEEEEEE"/>
      </patternFill>
    </fill>
    <fill>
      <patternFill patternType="solid">
        <fgColor rgb="FF2C2C2C"/>
        <bgColor rgb="FF263238"/>
      </patternFill>
    </fill>
    <fill>
      <patternFill patternType="solid">
        <fgColor rgb="FF37474F"/>
        <bgColor rgb="FF444444"/>
      </patternFill>
    </fill>
    <fill>
      <patternFill patternType="solid">
        <fgColor rgb="FFFFFFFF"/>
        <bgColor rgb="FFF3F8FF"/>
      </patternFill>
    </fill>
    <fill>
      <patternFill patternType="solid">
        <fgColor rgb="FFFF0000"/>
        <bgColor rgb="FFB71C1C"/>
      </patternFill>
    </fill>
    <fill>
      <patternFill patternType="solid">
        <fgColor rgb="FFF3F8FF"/>
        <bgColor rgb="FFF5F5F5"/>
      </patternFill>
    </fill>
    <fill>
      <patternFill patternType="solid">
        <fgColor rgb="FFFFF8E1"/>
        <bgColor rgb="FFFFF3E0"/>
      </patternFill>
    </fill>
    <fill>
      <patternFill patternType="solid">
        <fgColor rgb="FFFFF0CC"/>
        <bgColor rgb="FFFFF3E0"/>
      </patternFill>
    </fill>
    <fill>
      <patternFill patternType="solid">
        <fgColor rgb="FFF3E5F5"/>
        <bgColor rgb="FFEEEEEE"/>
      </patternFill>
    </fill>
    <fill>
      <patternFill patternType="solid">
        <fgColor rgb="FF0D2137"/>
        <bgColor rgb="FF16213E"/>
      </patternFill>
    </fill>
    <fill>
      <patternFill patternType="solid">
        <fgColor rgb="FFF1F8E9"/>
        <bgColor rgb="FFF5F5F5"/>
      </patternFill>
    </fill>
    <fill>
      <patternFill patternType="solid">
        <fgColor rgb="FFF5F5F5"/>
        <bgColor rgb="FFF3F8FF"/>
      </patternFill>
    </fill>
    <fill>
      <patternFill patternType="solid">
        <fgColor rgb="FF2E7D32"/>
        <bgColor rgb="FF1B5E20"/>
      </patternFill>
    </fill>
    <fill>
      <patternFill patternType="solid">
        <fgColor rgb="FFFFEBEE"/>
        <bgColor rgb="FFFFF3E0"/>
      </patternFill>
    </fill>
    <fill>
      <patternFill patternType="solid">
        <fgColor rgb="FF4A148C"/>
        <bgColor rgb="FF8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9" borderId="0" xfId="0" applyFont="1" applyFill="1" applyAlignment="1">
      <alignment horizontal="left" vertical="center"/>
    </xf>
    <xf numFmtId="0" fontId="4" fillId="2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164" fontId="5" fillId="5" borderId="0" xfId="0" applyNumberFormat="1" applyFont="1" applyFill="1" applyAlignment="1">
      <alignment horizontal="right" vertical="center"/>
    </xf>
    <xf numFmtId="164" fontId="6" fillId="6" borderId="0" xfId="0" applyNumberFormat="1" applyFont="1" applyFill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64" fontId="5" fillId="5" borderId="0" xfId="0" applyNumberFormat="1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164" fontId="8" fillId="7" borderId="0" xfId="0" applyNumberFormat="1" applyFont="1" applyFill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164" fontId="4" fillId="8" borderId="0" xfId="0" applyNumberFormat="1" applyFont="1" applyFill="1" applyAlignment="1">
      <alignment horizontal="right" vertical="center"/>
    </xf>
    <xf numFmtId="4" fontId="0" fillId="0" borderId="0" xfId="0" applyNumberFormat="1"/>
    <xf numFmtId="0" fontId="4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left" vertical="center"/>
    </xf>
    <xf numFmtId="164" fontId="5" fillId="10" borderId="0" xfId="0" applyNumberFormat="1" applyFont="1" applyFill="1" applyAlignment="1">
      <alignment horizontal="right" vertical="center"/>
    </xf>
    <xf numFmtId="164" fontId="9" fillId="10" borderId="0" xfId="0" applyNumberFormat="1" applyFont="1" applyFill="1" applyAlignment="1">
      <alignment horizontal="right" vertical="center"/>
    </xf>
    <xf numFmtId="0" fontId="10" fillId="10" borderId="0" xfId="0" applyFont="1" applyFill="1" applyAlignment="1">
      <alignment horizontal="left" vertical="center"/>
    </xf>
    <xf numFmtId="164" fontId="11" fillId="10" borderId="0" xfId="0" applyNumberFormat="1" applyFont="1" applyFill="1" applyAlignment="1">
      <alignment horizontal="right" vertical="center"/>
    </xf>
    <xf numFmtId="0" fontId="4" fillId="11" borderId="0" xfId="0" applyFont="1" applyFill="1" applyAlignment="1">
      <alignment horizontal="left" vertical="center"/>
    </xf>
    <xf numFmtId="164" fontId="4" fillId="11" borderId="0" xfId="0" applyNumberFormat="1" applyFont="1" applyFill="1" applyAlignment="1">
      <alignment horizontal="right" vertical="center"/>
    </xf>
    <xf numFmtId="0" fontId="4" fillId="12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center" vertical="center"/>
    </xf>
    <xf numFmtId="164" fontId="4" fillId="12" borderId="0" xfId="0" applyNumberFormat="1" applyFont="1" applyFill="1" applyAlignment="1">
      <alignment horizontal="right" vertical="center"/>
    </xf>
    <xf numFmtId="0" fontId="4" fillId="13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left" vertical="center"/>
    </xf>
    <xf numFmtId="164" fontId="5" fillId="14" borderId="0" xfId="0" applyNumberFormat="1" applyFont="1" applyFill="1" applyAlignment="1">
      <alignment horizontal="right" vertical="center"/>
    </xf>
    <xf numFmtId="164" fontId="12" fillId="14" borderId="0" xfId="0" applyNumberFormat="1" applyFont="1" applyFill="1" applyAlignment="1">
      <alignment horizontal="right" vertical="center"/>
    </xf>
    <xf numFmtId="0" fontId="12" fillId="14" borderId="0" xfId="0" applyFont="1" applyFill="1" applyAlignment="1">
      <alignment horizontal="left" vertical="center"/>
    </xf>
    <xf numFmtId="164" fontId="13" fillId="13" borderId="0" xfId="0" applyNumberFormat="1" applyFont="1" applyFill="1" applyAlignment="1">
      <alignment horizontal="right" vertical="center"/>
    </xf>
    <xf numFmtId="164" fontId="14" fillId="13" borderId="0" xfId="0" applyNumberFormat="1" applyFont="1" applyFill="1" applyAlignment="1">
      <alignment horizontal="right" vertical="center"/>
    </xf>
    <xf numFmtId="164" fontId="4" fillId="13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14" fillId="15" borderId="0" xfId="0" applyFont="1" applyFill="1" applyAlignment="1">
      <alignment horizontal="left" vertical="center"/>
    </xf>
    <xf numFmtId="164" fontId="14" fillId="15" borderId="0" xfId="0" applyNumberFormat="1" applyFont="1" applyFill="1" applyAlignment="1">
      <alignment horizontal="right" vertical="center"/>
    </xf>
    <xf numFmtId="164" fontId="4" fillId="15" borderId="0" xfId="0" applyNumberFormat="1" applyFont="1" applyFill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49" fontId="15" fillId="8" borderId="0" xfId="0" applyNumberFormat="1" applyFont="1" applyFill="1" applyAlignment="1">
      <alignment horizontal="left" vertical="center"/>
    </xf>
    <xf numFmtId="164" fontId="15" fillId="8" borderId="0" xfId="0" applyNumberFormat="1" applyFont="1" applyFill="1" applyAlignment="1">
      <alignment horizontal="right" vertical="center"/>
    </xf>
    <xf numFmtId="164" fontId="0" fillId="0" borderId="0" xfId="0" applyNumberFormat="1"/>
    <xf numFmtId="0" fontId="4" fillId="16" borderId="0" xfId="0" applyFont="1" applyFill="1" applyAlignment="1">
      <alignment horizontal="left" vertical="center"/>
    </xf>
    <xf numFmtId="164" fontId="4" fillId="16" borderId="0" xfId="0" applyNumberFormat="1" applyFont="1" applyFill="1" applyAlignment="1">
      <alignment horizontal="right" vertical="center"/>
    </xf>
    <xf numFmtId="0" fontId="5" fillId="17" borderId="0" xfId="0" applyFont="1" applyFill="1" applyAlignment="1">
      <alignment horizontal="left" vertical="center"/>
    </xf>
    <xf numFmtId="164" fontId="5" fillId="17" borderId="0" xfId="0" applyNumberFormat="1" applyFont="1" applyFill="1" applyAlignment="1">
      <alignment horizontal="right" vertical="center"/>
    </xf>
    <xf numFmtId="0" fontId="16" fillId="17" borderId="0" xfId="0" applyFont="1" applyFill="1" applyAlignment="1">
      <alignment horizontal="left" vertical="center"/>
    </xf>
    <xf numFmtId="164" fontId="16" fillId="17" borderId="0" xfId="0" applyNumberFormat="1" applyFont="1" applyFill="1" applyAlignment="1">
      <alignment horizontal="right" vertical="center"/>
    </xf>
    <xf numFmtId="0" fontId="17" fillId="18" borderId="0" xfId="0" applyFont="1" applyFill="1" applyAlignment="1">
      <alignment horizontal="left" vertical="center"/>
    </xf>
    <xf numFmtId="164" fontId="17" fillId="18" borderId="0" xfId="0" applyNumberFormat="1" applyFont="1" applyFill="1" applyAlignment="1">
      <alignment horizontal="right" vertical="center"/>
    </xf>
    <xf numFmtId="0" fontId="18" fillId="18" borderId="0" xfId="0" applyFont="1" applyFill="1" applyAlignment="1">
      <alignment horizontal="left" vertical="center"/>
    </xf>
    <xf numFmtId="0" fontId="0" fillId="18" borderId="0" xfId="0" applyFill="1"/>
    <xf numFmtId="0" fontId="19" fillId="17" borderId="0" xfId="0" applyFont="1" applyFill="1" applyAlignment="1">
      <alignment horizontal="left" vertical="center"/>
    </xf>
    <xf numFmtId="164" fontId="19" fillId="17" borderId="0" xfId="0" applyNumberFormat="1" applyFont="1" applyFill="1" applyAlignment="1">
      <alignment horizontal="right" vertical="center"/>
    </xf>
    <xf numFmtId="0" fontId="20" fillId="19" borderId="0" xfId="0" applyFont="1" applyFill="1" applyAlignment="1">
      <alignment horizontal="left" vertical="center"/>
    </xf>
    <xf numFmtId="164" fontId="20" fillId="19" borderId="0" xfId="0" applyNumberFormat="1" applyFont="1" applyFill="1" applyAlignment="1">
      <alignment horizontal="right" vertical="center"/>
    </xf>
    <xf numFmtId="0" fontId="21" fillId="20" borderId="0" xfId="0" applyFont="1" applyFill="1" applyAlignment="1">
      <alignment horizontal="left" vertical="center"/>
    </xf>
    <xf numFmtId="164" fontId="21" fillId="20" borderId="0" xfId="0" applyNumberFormat="1" applyFont="1" applyFill="1" applyAlignment="1">
      <alignment horizontal="right" vertical="center"/>
    </xf>
    <xf numFmtId="0" fontId="21" fillId="0" borderId="0" xfId="0" applyFont="1" applyAlignment="1">
      <alignment horizontal="left" vertical="center"/>
    </xf>
    <xf numFmtId="164" fontId="21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64" fontId="23" fillId="0" borderId="0" xfId="0" applyNumberFormat="1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64" fontId="24" fillId="0" borderId="0" xfId="0" applyNumberFormat="1" applyFont="1" applyAlignment="1">
      <alignment horizontal="right" vertical="center"/>
    </xf>
    <xf numFmtId="0" fontId="0" fillId="5" borderId="0" xfId="0" applyFill="1"/>
    <xf numFmtId="164" fontId="4" fillId="9" borderId="0" xfId="0" applyNumberFormat="1" applyFont="1" applyFill="1" applyAlignment="1">
      <alignment horizontal="center" vertical="center"/>
    </xf>
    <xf numFmtId="0" fontId="26" fillId="21" borderId="0" xfId="0" applyFont="1" applyFill="1" applyAlignment="1">
      <alignment horizontal="left" vertical="center"/>
    </xf>
    <xf numFmtId="164" fontId="26" fillId="21" borderId="0" xfId="0" applyNumberFormat="1" applyFont="1" applyFill="1" applyAlignment="1">
      <alignment horizontal="right" vertical="center"/>
    </xf>
    <xf numFmtId="164" fontId="9" fillId="21" borderId="0" xfId="0" applyNumberFormat="1" applyFont="1" applyFill="1" applyAlignment="1">
      <alignment horizontal="right" vertical="center"/>
    </xf>
    <xf numFmtId="0" fontId="11" fillId="10" borderId="0" xfId="0" applyFont="1" applyFill="1" applyAlignment="1">
      <alignment horizontal="left" vertical="center"/>
    </xf>
    <xf numFmtId="164" fontId="27" fillId="0" borderId="0" xfId="0" applyNumberFormat="1" applyFont="1" applyAlignment="1">
      <alignment horizontal="right" vertical="center"/>
    </xf>
    <xf numFmtId="0" fontId="28" fillId="14" borderId="0" xfId="0" applyFont="1" applyFill="1" applyAlignment="1">
      <alignment horizontal="left" vertical="center"/>
    </xf>
    <xf numFmtId="164" fontId="28" fillId="14" borderId="0" xfId="0" applyNumberFormat="1" applyFont="1" applyFill="1" applyAlignment="1">
      <alignment horizontal="right" vertical="center"/>
    </xf>
    <xf numFmtId="164" fontId="29" fillId="14" borderId="0" xfId="0" applyNumberFormat="1" applyFont="1" applyFill="1" applyAlignment="1">
      <alignment horizontal="right" vertical="center"/>
    </xf>
    <xf numFmtId="0" fontId="30" fillId="14" borderId="0" xfId="0" applyFont="1" applyFill="1" applyAlignment="1">
      <alignment horizontal="left" vertical="center"/>
    </xf>
    <xf numFmtId="164" fontId="30" fillId="14" borderId="0" xfId="0" applyNumberFormat="1" applyFont="1" applyFill="1" applyAlignment="1">
      <alignment horizontal="right" vertical="center"/>
    </xf>
    <xf numFmtId="164" fontId="31" fillId="14" borderId="0" xfId="0" applyNumberFormat="1" applyFont="1" applyFill="1" applyAlignment="1">
      <alignment horizontal="right" vertical="center"/>
    </xf>
    <xf numFmtId="164" fontId="14" fillId="13" borderId="0" xfId="0" applyNumberFormat="1" applyFont="1" applyFill="1"/>
    <xf numFmtId="164" fontId="14" fillId="2" borderId="0" xfId="0" applyNumberFormat="1" applyFont="1" applyFill="1"/>
    <xf numFmtId="164" fontId="13" fillId="23" borderId="0" xfId="0" applyNumberFormat="1" applyFont="1" applyFill="1" applyAlignment="1">
      <alignment horizontal="right" vertical="center"/>
    </xf>
    <xf numFmtId="164" fontId="14" fillId="23" borderId="0" xfId="0" applyNumberFormat="1" applyFont="1" applyFill="1" applyAlignment="1">
      <alignment horizontal="right" vertical="center"/>
    </xf>
    <xf numFmtId="0" fontId="14" fillId="23" borderId="0" xfId="0" applyFont="1" applyFill="1" applyAlignment="1">
      <alignment horizontal="left" vertical="center"/>
    </xf>
    <xf numFmtId="0" fontId="13" fillId="23" borderId="0" xfId="0" applyFont="1" applyFill="1" applyAlignment="1">
      <alignment horizontal="left" vertical="center"/>
    </xf>
    <xf numFmtId="0" fontId="12" fillId="17" borderId="0" xfId="0" applyFont="1" applyFill="1" applyAlignment="1">
      <alignment horizontal="left" vertical="center"/>
    </xf>
    <xf numFmtId="164" fontId="5" fillId="24" borderId="0" xfId="0" applyNumberFormat="1" applyFont="1" applyFill="1" applyAlignment="1">
      <alignment horizontal="center" vertical="center"/>
    </xf>
    <xf numFmtId="164" fontId="7" fillId="24" borderId="0" xfId="0" applyNumberFormat="1" applyFont="1" applyFill="1" applyAlignment="1">
      <alignment horizontal="center" vertical="center"/>
    </xf>
    <xf numFmtId="164" fontId="33" fillId="25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26" borderId="0" xfId="0" applyFont="1" applyFill="1" applyAlignment="1">
      <alignment horizontal="left" vertical="center"/>
    </xf>
    <xf numFmtId="164" fontId="13" fillId="26" borderId="0" xfId="0" applyNumberFormat="1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0" fontId="34" fillId="25" borderId="0" xfId="0" applyFont="1" applyFill="1" applyAlignment="1">
      <alignment horizontal="center" vertical="center"/>
    </xf>
    <xf numFmtId="0" fontId="35" fillId="27" borderId="0" xfId="0" applyFont="1" applyFill="1" applyAlignment="1">
      <alignment horizontal="center" vertical="center"/>
    </xf>
    <xf numFmtId="165" fontId="34" fillId="25" borderId="0" xfId="0" applyNumberFormat="1" applyFont="1" applyFill="1" applyAlignment="1">
      <alignment horizontal="center" vertical="center"/>
    </xf>
    <xf numFmtId="0" fontId="36" fillId="25" borderId="0" xfId="0" applyFont="1" applyFill="1" applyAlignment="1">
      <alignment horizontal="center" vertical="center"/>
    </xf>
    <xf numFmtId="164" fontId="37" fillId="5" borderId="0" xfId="0" applyNumberFormat="1" applyFont="1" applyFill="1" applyAlignment="1">
      <alignment horizontal="center" vertical="center"/>
    </xf>
    <xf numFmtId="0" fontId="38" fillId="26" borderId="0" xfId="0" applyFont="1" applyFill="1" applyAlignment="1">
      <alignment horizontal="left" vertical="center"/>
    </xf>
    <xf numFmtId="164" fontId="38" fillId="26" borderId="0" xfId="0" applyNumberFormat="1" applyFont="1" applyFill="1" applyAlignment="1">
      <alignment horizontal="right" vertical="center"/>
    </xf>
    <xf numFmtId="0" fontId="39" fillId="0" borderId="0" xfId="0" applyFont="1"/>
    <xf numFmtId="0" fontId="4" fillId="28" borderId="0" xfId="0" applyFont="1" applyFill="1" applyAlignment="1">
      <alignment horizontal="left" vertical="center"/>
    </xf>
    <xf numFmtId="164" fontId="13" fillId="28" borderId="0" xfId="0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33" fillId="2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32" fillId="14" borderId="0" xfId="0" applyFont="1" applyFill="1" applyAlignment="1">
      <alignment horizontal="left" vertical="center"/>
    </xf>
    <xf numFmtId="0" fontId="32" fillId="22" borderId="0" xfId="0" applyFont="1" applyFill="1" applyAlignment="1">
      <alignment horizontal="left" vertical="center"/>
    </xf>
    <xf numFmtId="0" fontId="4" fillId="2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8E1"/>
      <rgbColor rgb="FFFF00FF"/>
      <rgbColor rgb="FF00FFFF"/>
      <rgbColor rgb="FF6D2D00"/>
      <rgbColor rgb="FF1B5E20"/>
      <rgbColor rgb="FF000055"/>
      <rgbColor rgb="FF808000"/>
      <rgbColor rgb="FF1A1A2E"/>
      <rgbColor rgb="FF0D4A2F"/>
      <rgbColor rgb="FFBBBBBB"/>
      <rgbColor rgb="FF888888"/>
      <rgbColor rgb="FFAAAAAA"/>
      <rgbColor rgb="FFB71C1C"/>
      <rgbColor rgb="FFFFF9C4"/>
      <rgbColor rgb="FFE8F5E9"/>
      <rgbColor rgb="FF4A148C"/>
      <rgbColor rgb="FFF3F8FF"/>
      <rgbColor rgb="FF0066CC"/>
      <rgbColor rgb="FFCCCCCC"/>
      <rgbColor rgb="FF16213E"/>
      <rgbColor rgb="FFFF00FF"/>
      <rgbColor rgb="FFFFF3E0"/>
      <rgbColor rgb="FF00FFFF"/>
      <rgbColor rgb="FF800080"/>
      <rgbColor rgb="FF7B3F00"/>
      <rgbColor rgb="FF37474F"/>
      <rgbColor rgb="FF0000FF"/>
      <rgbColor rgb="FF00CCFF"/>
      <rgbColor rgb="FFE3EAF5"/>
      <rgbColor rgb="FFF1F8E9"/>
      <rgbColor rgb="FFFFF0CC"/>
      <rgbColor rgb="FFEEEEEE"/>
      <rgbColor rgb="FFFFEBEE"/>
      <rgbColor rgb="FFF5F5F5"/>
      <rgbColor rgb="FFF3E5F5"/>
      <rgbColor rgb="FF3366FF"/>
      <rgbColor rgb="FF33CCCC"/>
      <rgbColor rgb="FF99CC00"/>
      <rgbColor rgb="FFFFD700"/>
      <rgbColor rgb="FFFF9900"/>
      <rgbColor rgb="FFFF6600"/>
      <rgbColor rgb="FF444444"/>
      <rgbColor rgb="FF999999"/>
      <rgbColor rgb="FF0F3460"/>
      <rgbColor rgb="FF2E7D32"/>
      <rgbColor rgb="FF0D2137"/>
      <rgbColor rgb="FF263238"/>
      <rgbColor rgb="FF994400"/>
      <rgbColor rgb="FFBF360C"/>
      <rgbColor rgb="FF003388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8"/>
  <sheetViews>
    <sheetView zoomScaleNormal="100" workbookViewId="0">
      <selection activeCell="R25" sqref="R25"/>
    </sheetView>
  </sheetViews>
  <sheetFormatPr baseColWidth="10" defaultColWidth="8.6640625" defaultRowHeight="16" x14ac:dyDescent="0.2"/>
  <cols>
    <col min="1" max="1" width="34" customWidth="1"/>
    <col min="2" max="3" width="10.5" customWidth="1"/>
    <col min="4" max="4" width="30.5" customWidth="1"/>
    <col min="5" max="13" width="10.5" customWidth="1"/>
    <col min="14" max="14" width="13" customWidth="1"/>
    <col min="16" max="16" width="10.1640625" customWidth="1"/>
  </cols>
  <sheetData>
    <row r="1" spans="1:14" ht="30" customHeight="1" x14ac:dyDescent="0.2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4" ht="13.5" customHeight="1" x14ac:dyDescent="0.2">
      <c r="A2" s="115" t="s">
        <v>1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</row>
    <row r="3" spans="1:14" ht="19.5" customHeight="1" x14ac:dyDescent="0.2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ht="19.5" customHeight="1" x14ac:dyDescent="0.2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7" t="s">
        <v>13</v>
      </c>
      <c r="M4" s="7" t="s">
        <v>14</v>
      </c>
      <c r="N4" s="7" t="s">
        <v>15</v>
      </c>
    </row>
    <row r="5" spans="1:14" ht="16.5" customHeight="1" x14ac:dyDescent="0.2">
      <c r="A5" s="8" t="s">
        <v>16</v>
      </c>
      <c r="B5" s="9">
        <v>1815</v>
      </c>
      <c r="C5" s="9">
        <v>1815</v>
      </c>
      <c r="D5" s="9">
        <v>1815</v>
      </c>
      <c r="E5" s="9">
        <v>1815</v>
      </c>
      <c r="F5" s="9">
        <v>1815</v>
      </c>
      <c r="G5" s="9">
        <v>1815</v>
      </c>
      <c r="H5" s="9">
        <v>1815</v>
      </c>
      <c r="I5" s="10"/>
      <c r="J5" s="10"/>
      <c r="K5" s="10"/>
      <c r="L5" s="10"/>
      <c r="M5" s="10"/>
      <c r="N5" s="11">
        <f t="shared" ref="N5:N28" si="0">SUM(B5:M5)</f>
        <v>12705</v>
      </c>
    </row>
    <row r="6" spans="1:14" ht="16.5" customHeight="1" x14ac:dyDescent="0.2">
      <c r="A6" s="8" t="s">
        <v>17</v>
      </c>
      <c r="B6" s="9">
        <v>1694</v>
      </c>
      <c r="C6" s="9">
        <v>1694</v>
      </c>
      <c r="D6" s="9">
        <v>1694</v>
      </c>
      <c r="E6" s="9">
        <v>1694</v>
      </c>
      <c r="F6" s="9">
        <v>1694</v>
      </c>
      <c r="G6" s="9">
        <v>1694</v>
      </c>
      <c r="H6" s="9">
        <v>847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1">
        <f t="shared" si="0"/>
        <v>11011</v>
      </c>
    </row>
    <row r="7" spans="1:14" ht="16.5" customHeight="1" x14ac:dyDescent="0.2">
      <c r="A7" s="8" t="s">
        <v>18</v>
      </c>
      <c r="B7" s="9">
        <v>787</v>
      </c>
      <c r="C7" s="9">
        <v>786.5</v>
      </c>
      <c r="D7" s="9">
        <v>786.5</v>
      </c>
      <c r="E7" s="9">
        <v>786.5</v>
      </c>
      <c r="F7" s="9">
        <v>786.5</v>
      </c>
      <c r="G7" s="9">
        <v>786.5</v>
      </c>
      <c r="H7" s="9">
        <v>1691</v>
      </c>
      <c r="I7" s="10"/>
      <c r="J7" s="10"/>
      <c r="K7" s="10"/>
      <c r="L7" s="10"/>
      <c r="M7" s="10"/>
      <c r="N7" s="11">
        <f t="shared" si="0"/>
        <v>6410.5</v>
      </c>
    </row>
    <row r="8" spans="1:14" ht="16.5" customHeight="1" x14ac:dyDescent="0.2">
      <c r="A8" s="8" t="s">
        <v>19</v>
      </c>
      <c r="B8" s="9">
        <v>218</v>
      </c>
      <c r="C8" s="9">
        <v>217.8</v>
      </c>
      <c r="D8" s="9">
        <v>217.8</v>
      </c>
      <c r="E8" s="9">
        <v>217.8</v>
      </c>
      <c r="F8" s="9">
        <v>217.8</v>
      </c>
      <c r="G8" s="9">
        <v>217.8</v>
      </c>
      <c r="H8" s="9">
        <v>217.8</v>
      </c>
      <c r="I8" s="10"/>
      <c r="J8" s="10"/>
      <c r="K8" s="10"/>
      <c r="L8" s="10"/>
      <c r="M8" s="10"/>
      <c r="N8" s="11">
        <f t="shared" si="0"/>
        <v>1524.8</v>
      </c>
    </row>
    <row r="9" spans="1:14" ht="16.5" customHeight="1" x14ac:dyDescent="0.2">
      <c r="A9" s="8" t="s">
        <v>20</v>
      </c>
      <c r="B9" s="9">
        <v>1029</v>
      </c>
      <c r="C9" s="9">
        <v>1029</v>
      </c>
      <c r="D9" s="9">
        <v>1029</v>
      </c>
      <c r="E9" s="9">
        <v>1029</v>
      </c>
      <c r="F9" s="9">
        <v>3827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1">
        <f t="shared" si="0"/>
        <v>7943</v>
      </c>
    </row>
    <row r="10" spans="1:14" ht="16.5" customHeight="1" x14ac:dyDescent="0.2">
      <c r="A10" s="8" t="s">
        <v>21</v>
      </c>
      <c r="B10" s="10">
        <v>0</v>
      </c>
      <c r="C10" s="10">
        <v>0</v>
      </c>
      <c r="D10" s="10">
        <v>0</v>
      </c>
      <c r="E10" s="10">
        <v>0</v>
      </c>
      <c r="F10" s="9">
        <v>834.9</v>
      </c>
      <c r="G10" s="9">
        <v>834.9</v>
      </c>
      <c r="H10" s="9">
        <v>834.9</v>
      </c>
      <c r="I10" s="10"/>
      <c r="J10" s="10"/>
      <c r="K10" s="10"/>
      <c r="L10" s="10"/>
      <c r="M10" s="10"/>
      <c r="N10" s="11">
        <f t="shared" si="0"/>
        <v>2504.6999999999998</v>
      </c>
    </row>
    <row r="11" spans="1:14" ht="16.5" customHeight="1" x14ac:dyDescent="0.2">
      <c r="A11" s="8" t="s">
        <v>22</v>
      </c>
      <c r="B11" s="9">
        <v>500</v>
      </c>
      <c r="C11" s="9">
        <v>500</v>
      </c>
      <c r="D11" s="10">
        <v>0</v>
      </c>
      <c r="E11" s="9">
        <v>250</v>
      </c>
      <c r="F11" s="9">
        <v>500</v>
      </c>
      <c r="G11" s="10">
        <v>0</v>
      </c>
      <c r="H11" s="10">
        <v>700</v>
      </c>
      <c r="I11" s="10"/>
      <c r="J11" s="10"/>
      <c r="K11" s="10"/>
      <c r="L11" s="10"/>
      <c r="M11" s="10"/>
      <c r="N11" s="11">
        <f t="shared" si="0"/>
        <v>2450</v>
      </c>
    </row>
    <row r="12" spans="1:14" ht="16.5" customHeight="1" x14ac:dyDescent="0.2">
      <c r="A12" s="8" t="s">
        <v>23</v>
      </c>
      <c r="B12" s="10"/>
      <c r="C12" s="9">
        <v>605</v>
      </c>
      <c r="D12" s="9">
        <v>605</v>
      </c>
      <c r="E12" s="9">
        <v>605</v>
      </c>
      <c r="F12" s="9">
        <v>605</v>
      </c>
      <c r="G12" s="9">
        <v>605</v>
      </c>
      <c r="H12" s="9">
        <v>605</v>
      </c>
      <c r="I12" s="10"/>
      <c r="J12" s="10"/>
      <c r="K12" s="10"/>
      <c r="L12" s="10"/>
      <c r="M12" s="10"/>
      <c r="N12" s="11">
        <f t="shared" si="0"/>
        <v>3630</v>
      </c>
    </row>
    <row r="13" spans="1:14" ht="16.5" customHeight="1" x14ac:dyDescent="0.2">
      <c r="A13" s="8" t="s">
        <v>24</v>
      </c>
      <c r="B13" s="9">
        <v>605</v>
      </c>
      <c r="C13" s="9">
        <v>363</v>
      </c>
      <c r="D13" s="9">
        <v>363</v>
      </c>
      <c r="E13" s="9">
        <v>363</v>
      </c>
      <c r="F13" s="9">
        <v>363</v>
      </c>
      <c r="G13" s="9">
        <v>363</v>
      </c>
      <c r="H13" s="9">
        <v>363</v>
      </c>
      <c r="I13" s="10"/>
      <c r="J13" s="10"/>
      <c r="K13" s="10"/>
      <c r="L13" s="10"/>
      <c r="M13" s="10"/>
      <c r="N13" s="11">
        <f t="shared" si="0"/>
        <v>2783</v>
      </c>
    </row>
    <row r="14" spans="1:14" ht="16.5" customHeight="1" x14ac:dyDescent="0.2">
      <c r="A14" s="8" t="s">
        <v>25</v>
      </c>
      <c r="B14" s="9">
        <v>2900</v>
      </c>
      <c r="C14" s="9">
        <v>2900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1">
        <f t="shared" si="0"/>
        <v>5800</v>
      </c>
    </row>
    <row r="15" spans="1:14" ht="16.5" customHeight="1" x14ac:dyDescent="0.2">
      <c r="A15" s="8" t="s">
        <v>26</v>
      </c>
      <c r="B15" s="10">
        <v>0</v>
      </c>
      <c r="C15" s="10">
        <v>0</v>
      </c>
      <c r="D15" s="9">
        <v>3146</v>
      </c>
      <c r="E15" s="9">
        <v>1452</v>
      </c>
      <c r="F15" s="9">
        <v>1270.5</v>
      </c>
      <c r="G15" s="9">
        <v>1270.5</v>
      </c>
      <c r="H15" s="9">
        <v>1270.5</v>
      </c>
      <c r="I15" s="10"/>
      <c r="J15" s="10"/>
      <c r="K15" s="10"/>
      <c r="L15" s="10"/>
      <c r="M15" s="10"/>
      <c r="N15" s="11">
        <f t="shared" si="0"/>
        <v>8409.5</v>
      </c>
    </row>
    <row r="16" spans="1:14" ht="16.5" customHeight="1" x14ac:dyDescent="0.2">
      <c r="A16" s="8" t="s">
        <v>27</v>
      </c>
      <c r="B16" s="10">
        <v>0</v>
      </c>
      <c r="C16" s="10">
        <v>0</v>
      </c>
      <c r="D16" s="10">
        <v>0</v>
      </c>
      <c r="E16" s="9">
        <v>484</v>
      </c>
      <c r="F16" s="9">
        <v>544.5</v>
      </c>
      <c r="G16" s="9">
        <v>544.5</v>
      </c>
      <c r="H16" s="9">
        <v>544.5</v>
      </c>
      <c r="I16" s="10"/>
      <c r="J16" s="10"/>
      <c r="K16" s="10"/>
      <c r="L16" s="10"/>
      <c r="M16" s="10"/>
      <c r="N16" s="11">
        <f t="shared" si="0"/>
        <v>2117.5</v>
      </c>
    </row>
    <row r="17" spans="1:16" ht="16.5" customHeight="1" x14ac:dyDescent="0.2">
      <c r="A17" s="8" t="s">
        <v>28</v>
      </c>
      <c r="B17" s="10">
        <v>0</v>
      </c>
      <c r="C17" s="10">
        <v>0</v>
      </c>
      <c r="D17" s="9">
        <v>1452</v>
      </c>
      <c r="E17" s="9">
        <v>665.5</v>
      </c>
      <c r="F17" s="9">
        <v>665.5</v>
      </c>
      <c r="G17" s="9">
        <v>665.5</v>
      </c>
      <c r="H17" s="9">
        <v>544.5</v>
      </c>
      <c r="I17" s="10"/>
      <c r="J17" s="10"/>
      <c r="K17" s="10"/>
      <c r="L17" s="10"/>
      <c r="M17" s="10"/>
      <c r="N17" s="11">
        <f t="shared" si="0"/>
        <v>3993</v>
      </c>
    </row>
    <row r="18" spans="1:16" ht="16.5" customHeight="1" x14ac:dyDescent="0.2">
      <c r="A18" s="8" t="s">
        <v>29</v>
      </c>
      <c r="B18" s="10">
        <v>0</v>
      </c>
      <c r="C18" s="10">
        <v>0</v>
      </c>
      <c r="D18" s="10">
        <v>0</v>
      </c>
      <c r="E18" s="9">
        <v>1452</v>
      </c>
      <c r="F18" s="9">
        <v>544.5</v>
      </c>
      <c r="G18" s="9">
        <v>544.5</v>
      </c>
      <c r="H18" s="9">
        <v>484</v>
      </c>
      <c r="I18" s="10"/>
      <c r="J18" s="10"/>
      <c r="K18" s="10"/>
      <c r="L18" s="10"/>
      <c r="M18" s="10"/>
      <c r="N18" s="11">
        <f t="shared" si="0"/>
        <v>3025</v>
      </c>
    </row>
    <row r="19" spans="1:16" ht="16.5" customHeight="1" x14ac:dyDescent="0.2">
      <c r="A19" s="8" t="s">
        <v>30</v>
      </c>
      <c r="B19" s="10">
        <v>0</v>
      </c>
      <c r="C19" s="10">
        <v>0</v>
      </c>
      <c r="D19" s="10">
        <v>0</v>
      </c>
      <c r="E19" s="10">
        <v>0</v>
      </c>
      <c r="F19" s="9">
        <v>1028.5</v>
      </c>
      <c r="G19" s="9">
        <v>338.8</v>
      </c>
      <c r="H19" s="9">
        <v>338.8</v>
      </c>
      <c r="I19" s="10"/>
      <c r="J19" s="10"/>
      <c r="K19" s="10"/>
      <c r="L19" s="10"/>
      <c r="M19" s="10"/>
      <c r="N19" s="11">
        <f t="shared" si="0"/>
        <v>1706.1</v>
      </c>
    </row>
    <row r="20" spans="1:16" ht="16.5" customHeight="1" x14ac:dyDescent="0.2">
      <c r="A20" s="8" t="s">
        <v>31</v>
      </c>
      <c r="B20" s="10">
        <v>0</v>
      </c>
      <c r="C20" s="10">
        <v>0</v>
      </c>
      <c r="D20" s="10">
        <v>0</v>
      </c>
      <c r="E20" s="10">
        <v>0</v>
      </c>
      <c r="F20" s="9">
        <v>514.5</v>
      </c>
      <c r="G20" s="9">
        <v>400</v>
      </c>
      <c r="H20" s="9">
        <v>544.5</v>
      </c>
      <c r="I20" s="10"/>
      <c r="J20" s="10"/>
      <c r="K20" s="10"/>
      <c r="L20" s="10"/>
      <c r="M20" s="10"/>
      <c r="N20" s="11">
        <f t="shared" si="0"/>
        <v>1459</v>
      </c>
    </row>
    <row r="21" spans="1:16" ht="16.5" customHeight="1" x14ac:dyDescent="0.2">
      <c r="A21" s="8" t="s">
        <v>32</v>
      </c>
      <c r="B21" s="10">
        <v>0</v>
      </c>
      <c r="C21" s="10">
        <v>0</v>
      </c>
      <c r="D21" s="9">
        <v>217</v>
      </c>
      <c r="E21" s="9">
        <v>217</v>
      </c>
      <c r="F21" s="9">
        <v>217</v>
      </c>
      <c r="G21" s="10">
        <v>0</v>
      </c>
      <c r="H21" s="9">
        <v>217.8</v>
      </c>
      <c r="I21" s="10"/>
      <c r="J21" s="10"/>
      <c r="K21" s="10"/>
      <c r="L21" s="10"/>
      <c r="M21" s="10"/>
      <c r="N21" s="11">
        <f t="shared" si="0"/>
        <v>868.8</v>
      </c>
    </row>
    <row r="22" spans="1:16" ht="16.5" customHeight="1" x14ac:dyDescent="0.2">
      <c r="A22" s="8" t="s">
        <v>33</v>
      </c>
      <c r="B22" s="10">
        <v>0</v>
      </c>
      <c r="C22" s="9">
        <v>181.5</v>
      </c>
      <c r="D22" s="10">
        <v>0</v>
      </c>
      <c r="E22" s="9">
        <v>182</v>
      </c>
      <c r="F22" s="9">
        <v>363</v>
      </c>
      <c r="G22" s="9">
        <v>363</v>
      </c>
      <c r="H22" s="9">
        <v>266.2</v>
      </c>
      <c r="I22" s="10"/>
      <c r="J22" s="10"/>
      <c r="K22" s="10"/>
      <c r="L22" s="10"/>
      <c r="M22" s="10"/>
      <c r="N22" s="11">
        <f t="shared" si="0"/>
        <v>1355.7</v>
      </c>
    </row>
    <row r="23" spans="1:16" ht="16.5" customHeight="1" x14ac:dyDescent="0.2">
      <c r="A23" s="8" t="s">
        <v>34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9">
        <v>1452</v>
      </c>
      <c r="H23" s="10">
        <v>0</v>
      </c>
      <c r="I23" s="10"/>
      <c r="J23" s="10"/>
      <c r="K23" s="10"/>
      <c r="L23" s="10"/>
      <c r="M23" s="10"/>
      <c r="N23" s="11">
        <f t="shared" si="0"/>
        <v>1452</v>
      </c>
    </row>
    <row r="24" spans="1:16" ht="16.5" customHeight="1" x14ac:dyDescent="0.2">
      <c r="A24" s="12" t="s">
        <v>35</v>
      </c>
      <c r="B24" s="9">
        <v>0</v>
      </c>
      <c r="C24" s="9">
        <v>0</v>
      </c>
      <c r="D24" s="9">
        <v>0</v>
      </c>
      <c r="E24" s="9">
        <f>1200*(1+0.21)</f>
        <v>1452</v>
      </c>
      <c r="F24" s="9">
        <v>0</v>
      </c>
      <c r="G24" s="9">
        <v>0</v>
      </c>
      <c r="H24" s="9">
        <v>1936</v>
      </c>
      <c r="I24" s="10"/>
      <c r="J24" s="10"/>
      <c r="K24" s="10"/>
      <c r="L24" s="10"/>
      <c r="M24" s="10"/>
      <c r="N24" s="11">
        <f t="shared" si="0"/>
        <v>3388</v>
      </c>
    </row>
    <row r="25" spans="1:16" ht="21.75" customHeight="1" x14ac:dyDescent="0.2">
      <c r="A25" s="12" t="s">
        <v>36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10"/>
      <c r="J25" s="10"/>
      <c r="K25" s="10"/>
      <c r="L25" s="10"/>
      <c r="M25" s="10"/>
      <c r="N25" s="11">
        <f t="shared" si="0"/>
        <v>0</v>
      </c>
    </row>
    <row r="26" spans="1:16" ht="15.75" customHeight="1" x14ac:dyDescent="0.2">
      <c r="A26" s="12" t="s">
        <v>37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726</v>
      </c>
      <c r="I26" s="10"/>
      <c r="J26" s="10"/>
      <c r="K26" s="10"/>
      <c r="L26" s="10"/>
      <c r="M26" s="10"/>
      <c r="N26" s="11">
        <f t="shared" si="0"/>
        <v>726</v>
      </c>
    </row>
    <row r="27" spans="1:16" ht="19.5" customHeight="1" x14ac:dyDescent="0.2">
      <c r="A27" s="13" t="s">
        <v>38</v>
      </c>
      <c r="B27" s="10">
        <v>0</v>
      </c>
      <c r="C27" s="14">
        <f>B63</f>
        <v>171.9</v>
      </c>
      <c r="D27" s="14">
        <f>B66</f>
        <v>242</v>
      </c>
      <c r="E27" s="14">
        <f>B69</f>
        <v>242</v>
      </c>
      <c r="F27" s="14">
        <f>B72</f>
        <v>736</v>
      </c>
      <c r="G27" s="14">
        <f>B75</f>
        <v>514.25</v>
      </c>
      <c r="H27" s="11">
        <f>B77</f>
        <v>0</v>
      </c>
      <c r="I27" s="10"/>
      <c r="J27" s="10"/>
      <c r="K27" s="10"/>
      <c r="L27" s="10"/>
      <c r="M27" s="10"/>
      <c r="N27" s="14">
        <f t="shared" si="0"/>
        <v>1906.15</v>
      </c>
    </row>
    <row r="28" spans="1:16" ht="16.5" customHeight="1" x14ac:dyDescent="0.2">
      <c r="A28" s="15" t="s">
        <v>39</v>
      </c>
      <c r="B28" s="16">
        <f t="shared" ref="B28:M28" si="1">SUM(B5:B27)</f>
        <v>9548</v>
      </c>
      <c r="C28" s="16">
        <f t="shared" si="1"/>
        <v>10263.699999999999</v>
      </c>
      <c r="D28" s="16">
        <f t="shared" si="1"/>
        <v>11567.3</v>
      </c>
      <c r="E28" s="16">
        <f t="shared" si="1"/>
        <v>12906.8</v>
      </c>
      <c r="F28" s="16">
        <f t="shared" si="1"/>
        <v>16527.199999999997</v>
      </c>
      <c r="G28" s="16">
        <f t="shared" si="1"/>
        <v>12409.25</v>
      </c>
      <c r="H28" s="16">
        <f t="shared" si="1"/>
        <v>13946.5</v>
      </c>
      <c r="I28" s="16">
        <f t="shared" si="1"/>
        <v>0</v>
      </c>
      <c r="J28" s="16">
        <f t="shared" si="1"/>
        <v>0</v>
      </c>
      <c r="K28" s="16">
        <f t="shared" si="1"/>
        <v>0</v>
      </c>
      <c r="L28" s="16">
        <f t="shared" si="1"/>
        <v>0</v>
      </c>
      <c r="M28" s="16">
        <f t="shared" si="1"/>
        <v>0</v>
      </c>
      <c r="N28" s="16">
        <f t="shared" si="0"/>
        <v>87168.75</v>
      </c>
      <c r="P28" s="17"/>
    </row>
    <row r="29" spans="1:16" ht="16.5" customHeight="1" x14ac:dyDescent="0.2"/>
    <row r="30" spans="1:16" ht="16.5" customHeight="1" x14ac:dyDescent="0.2">
      <c r="A30" s="1" t="s">
        <v>2</v>
      </c>
      <c r="B30" s="18" t="s">
        <v>3</v>
      </c>
      <c r="C30" s="18" t="s">
        <v>4</v>
      </c>
      <c r="D30" s="18" t="s">
        <v>5</v>
      </c>
      <c r="E30" s="18" t="s">
        <v>6</v>
      </c>
      <c r="F30" s="18" t="s">
        <v>7</v>
      </c>
      <c r="G30" s="18" t="s">
        <v>8</v>
      </c>
      <c r="H30" s="18" t="s">
        <v>9</v>
      </c>
      <c r="I30" s="18" t="s">
        <v>10</v>
      </c>
      <c r="J30" s="18" t="s">
        <v>11</v>
      </c>
      <c r="K30" s="18" t="s">
        <v>12</v>
      </c>
      <c r="L30" s="18" t="s">
        <v>13</v>
      </c>
      <c r="M30" s="18" t="s">
        <v>14</v>
      </c>
      <c r="N30" s="18" t="s">
        <v>15</v>
      </c>
    </row>
    <row r="31" spans="1:16" ht="16.5" customHeight="1" x14ac:dyDescent="0.2">
      <c r="A31" s="19" t="s">
        <v>40</v>
      </c>
      <c r="B31" s="20">
        <v>3805</v>
      </c>
      <c r="C31" s="20">
        <v>3805</v>
      </c>
      <c r="D31" s="20">
        <v>3000</v>
      </c>
      <c r="E31" s="20">
        <v>3000</v>
      </c>
      <c r="F31" s="20">
        <v>3000</v>
      </c>
      <c r="G31" s="20">
        <v>3000</v>
      </c>
      <c r="H31" s="20">
        <v>3217</v>
      </c>
      <c r="I31" s="10"/>
      <c r="J31" s="10"/>
      <c r="K31" s="10"/>
      <c r="L31" s="10"/>
      <c r="M31" s="10"/>
      <c r="N31" s="21">
        <f t="shared" ref="N31:N40" si="2">SUM(B28:M28)</f>
        <v>87168.75</v>
      </c>
    </row>
    <row r="32" spans="1:16" ht="16.5" customHeight="1" x14ac:dyDescent="0.2">
      <c r="A32" s="19" t="s">
        <v>41</v>
      </c>
      <c r="B32" s="20">
        <v>450</v>
      </c>
      <c r="C32" s="20">
        <v>426.11</v>
      </c>
      <c r="D32" s="20">
        <v>571.59</v>
      </c>
      <c r="E32" s="10">
        <v>0</v>
      </c>
      <c r="F32" s="10">
        <v>0</v>
      </c>
      <c r="G32" s="20">
        <v>736.88</v>
      </c>
      <c r="H32" s="20">
        <v>31.9</v>
      </c>
      <c r="I32" s="10"/>
      <c r="J32" s="10"/>
      <c r="K32" s="10"/>
      <c r="L32" s="10"/>
      <c r="M32" s="10"/>
      <c r="N32" s="21">
        <f t="shared" si="2"/>
        <v>0</v>
      </c>
    </row>
    <row r="33" spans="1:14" ht="16.5" customHeight="1" x14ac:dyDescent="0.2">
      <c r="A33" s="19" t="s">
        <v>42</v>
      </c>
      <c r="B33" s="20">
        <v>300</v>
      </c>
      <c r="C33" s="20">
        <v>300</v>
      </c>
      <c r="D33" s="20">
        <v>300</v>
      </c>
      <c r="E33" s="20">
        <v>404</v>
      </c>
      <c r="F33" s="20">
        <v>404</v>
      </c>
      <c r="G33" s="20">
        <v>404.03</v>
      </c>
      <c r="H33" s="20">
        <v>491.28</v>
      </c>
      <c r="I33" s="10"/>
      <c r="J33" s="10"/>
      <c r="K33" s="10"/>
      <c r="L33" s="10"/>
      <c r="M33" s="10"/>
      <c r="N33" s="21">
        <f t="shared" si="2"/>
        <v>0</v>
      </c>
    </row>
    <row r="34" spans="1:14" ht="16.5" customHeight="1" x14ac:dyDescent="0.2">
      <c r="A34" s="19" t="s">
        <v>43</v>
      </c>
      <c r="B34" s="20">
        <v>387</v>
      </c>
      <c r="C34" s="20">
        <v>387</v>
      </c>
      <c r="D34" s="20">
        <v>310</v>
      </c>
      <c r="E34" s="20">
        <v>310</v>
      </c>
      <c r="F34" s="20">
        <v>448</v>
      </c>
      <c r="G34" s="20">
        <v>448.56</v>
      </c>
      <c r="H34" s="20">
        <v>448.56</v>
      </c>
      <c r="I34" s="10"/>
      <c r="J34" s="10"/>
      <c r="K34" s="10"/>
      <c r="L34" s="10"/>
      <c r="M34" s="10"/>
      <c r="N34" s="21">
        <f t="shared" si="2"/>
        <v>22827</v>
      </c>
    </row>
    <row r="35" spans="1:14" ht="16.5" customHeight="1" x14ac:dyDescent="0.2">
      <c r="A35" s="19" t="s">
        <v>44</v>
      </c>
      <c r="B35" s="20">
        <v>310</v>
      </c>
      <c r="C35" s="20">
        <v>310</v>
      </c>
      <c r="D35" s="20">
        <v>310</v>
      </c>
      <c r="E35" s="20">
        <v>310</v>
      </c>
      <c r="F35" s="20">
        <v>302.60000000000002</v>
      </c>
      <c r="G35" s="20">
        <v>302.60000000000002</v>
      </c>
      <c r="H35" s="20">
        <v>302.60000000000002</v>
      </c>
      <c r="I35" s="10"/>
      <c r="J35" s="10"/>
      <c r="K35" s="10"/>
      <c r="L35" s="10"/>
      <c r="M35" s="10"/>
      <c r="N35" s="21">
        <f t="shared" si="2"/>
        <v>2216.48</v>
      </c>
    </row>
    <row r="36" spans="1:14" ht="16.5" customHeight="1" x14ac:dyDescent="0.2">
      <c r="A36" s="19" t="s">
        <v>45</v>
      </c>
      <c r="B36" s="20">
        <v>100</v>
      </c>
      <c r="C36" s="20">
        <v>78</v>
      </c>
      <c r="D36" s="20">
        <v>139</v>
      </c>
      <c r="E36" s="20">
        <v>198.26</v>
      </c>
      <c r="F36" s="20">
        <v>263.26</v>
      </c>
      <c r="G36" s="20">
        <v>198.45</v>
      </c>
      <c r="H36" s="20">
        <v>179.03</v>
      </c>
      <c r="I36" s="10"/>
      <c r="J36" s="10"/>
      <c r="K36" s="10"/>
      <c r="L36" s="10"/>
      <c r="M36" s="10"/>
      <c r="N36" s="21">
        <f t="shared" si="2"/>
        <v>2603.3099999999995</v>
      </c>
    </row>
    <row r="37" spans="1:14" ht="16.5" customHeight="1" x14ac:dyDescent="0.2">
      <c r="A37" s="19" t="s">
        <v>46</v>
      </c>
      <c r="B37" s="20">
        <v>400</v>
      </c>
      <c r="C37" s="20">
        <v>363</v>
      </c>
      <c r="D37" s="20">
        <v>1300</v>
      </c>
      <c r="E37" s="20">
        <v>1349</v>
      </c>
      <c r="F37" s="20">
        <v>1173.3599999999999</v>
      </c>
      <c r="G37" s="20">
        <v>1304.6400000000001</v>
      </c>
      <c r="H37" s="20">
        <v>5513.19</v>
      </c>
      <c r="I37" s="10"/>
      <c r="J37" s="10"/>
      <c r="K37" s="10"/>
      <c r="L37" s="10"/>
      <c r="M37" s="10"/>
      <c r="N37" s="21">
        <f t="shared" si="2"/>
        <v>2739.12</v>
      </c>
    </row>
    <row r="38" spans="1:14" ht="21.75" customHeight="1" x14ac:dyDescent="0.2">
      <c r="A38" s="22" t="s">
        <v>47</v>
      </c>
      <c r="B38" s="23">
        <f>B81</f>
        <v>552</v>
      </c>
      <c r="C38" s="23">
        <f>B89</f>
        <v>1025.81</v>
      </c>
      <c r="D38" s="23">
        <f>B97</f>
        <v>1814.41</v>
      </c>
      <c r="E38" s="23">
        <f>B107</f>
        <v>1296.1299999999999</v>
      </c>
      <c r="F38" s="23">
        <f>B115</f>
        <v>3301.8999999999996</v>
      </c>
      <c r="G38" s="23">
        <f>B124</f>
        <v>489.87</v>
      </c>
      <c r="H38" s="23">
        <f>B129</f>
        <v>3013.8099999999995</v>
      </c>
      <c r="I38" s="10"/>
      <c r="J38" s="10"/>
      <c r="K38" s="10"/>
      <c r="L38" s="10"/>
      <c r="M38" s="10"/>
      <c r="N38" s="21">
        <f t="shared" si="2"/>
        <v>2147.7999999999997</v>
      </c>
    </row>
    <row r="39" spans="1:14" ht="15.75" customHeight="1" x14ac:dyDescent="0.2">
      <c r="A39" s="19" t="s">
        <v>48</v>
      </c>
      <c r="B39" s="20">
        <v>300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21">
        <f t="shared" si="2"/>
        <v>1156</v>
      </c>
    </row>
    <row r="40" spans="1:14" ht="19.5" customHeight="1" x14ac:dyDescent="0.2">
      <c r="A40" s="19" t="s">
        <v>49</v>
      </c>
      <c r="B40" s="20">
        <v>3000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21">
        <f t="shared" si="2"/>
        <v>11403.189999999999</v>
      </c>
    </row>
    <row r="41" spans="1:14" ht="21.75" customHeight="1" x14ac:dyDescent="0.2">
      <c r="A41" s="24" t="s">
        <v>50</v>
      </c>
      <c r="B41" s="25">
        <f t="shared" ref="B41:M41" si="3">SUM(B31:B40)</f>
        <v>9604</v>
      </c>
      <c r="C41" s="25">
        <f t="shared" si="3"/>
        <v>6694.92</v>
      </c>
      <c r="D41" s="25">
        <f t="shared" si="3"/>
        <v>7745</v>
      </c>
      <c r="E41" s="25">
        <f t="shared" si="3"/>
        <v>6867.39</v>
      </c>
      <c r="F41" s="25">
        <f t="shared" si="3"/>
        <v>8893.119999999999</v>
      </c>
      <c r="G41" s="25">
        <f t="shared" si="3"/>
        <v>6885.0300000000007</v>
      </c>
      <c r="H41" s="25">
        <f t="shared" si="3"/>
        <v>13197.37</v>
      </c>
      <c r="I41" s="25">
        <f t="shared" si="3"/>
        <v>0</v>
      </c>
      <c r="J41" s="25">
        <f t="shared" si="3"/>
        <v>0</v>
      </c>
      <c r="K41" s="25">
        <f t="shared" si="3"/>
        <v>0</v>
      </c>
      <c r="L41" s="25">
        <f t="shared" si="3"/>
        <v>0</v>
      </c>
      <c r="M41" s="25">
        <f t="shared" si="3"/>
        <v>0</v>
      </c>
      <c r="N41" s="25">
        <f>SUM(B41:M41)</f>
        <v>59886.829999999994</v>
      </c>
    </row>
    <row r="43" spans="1:14" ht="19.5" customHeight="1" x14ac:dyDescent="0.2">
      <c r="A43" s="26" t="s">
        <v>2</v>
      </c>
      <c r="B43" s="27" t="s">
        <v>3</v>
      </c>
      <c r="C43" s="27" t="s">
        <v>4</v>
      </c>
      <c r="D43" s="27" t="s">
        <v>5</v>
      </c>
      <c r="E43" s="27" t="s">
        <v>6</v>
      </c>
      <c r="F43" s="27" t="s">
        <v>7</v>
      </c>
      <c r="G43" s="27" t="s">
        <v>8</v>
      </c>
      <c r="H43" s="27" t="s">
        <v>9</v>
      </c>
      <c r="I43" s="27" t="s">
        <v>10</v>
      </c>
      <c r="J43" s="27" t="s">
        <v>11</v>
      </c>
      <c r="K43" s="27" t="s">
        <v>12</v>
      </c>
      <c r="L43" s="27" t="s">
        <v>13</v>
      </c>
      <c r="M43" s="27" t="s">
        <v>14</v>
      </c>
      <c r="N43" s="27" t="s">
        <v>15</v>
      </c>
    </row>
    <row r="44" spans="1:14" ht="16.5" customHeight="1" x14ac:dyDescent="0.2">
      <c r="A44" s="26" t="s">
        <v>51</v>
      </c>
      <c r="B44" s="28">
        <f t="shared" ref="B44:M44" si="4">B28-B41</f>
        <v>-56</v>
      </c>
      <c r="C44" s="28">
        <f t="shared" si="4"/>
        <v>3568.7799999999988</v>
      </c>
      <c r="D44" s="28">
        <f t="shared" si="4"/>
        <v>3822.2999999999993</v>
      </c>
      <c r="E44" s="28">
        <f t="shared" si="4"/>
        <v>6039.4099999999989</v>
      </c>
      <c r="F44" s="28">
        <f t="shared" si="4"/>
        <v>7634.0799999999981</v>
      </c>
      <c r="G44" s="28">
        <f t="shared" si="4"/>
        <v>5524.2199999999993</v>
      </c>
      <c r="H44" s="28">
        <f t="shared" si="4"/>
        <v>749.1299999999992</v>
      </c>
      <c r="I44" s="28">
        <f t="shared" si="4"/>
        <v>0</v>
      </c>
      <c r="J44" s="28">
        <f t="shared" si="4"/>
        <v>0</v>
      </c>
      <c r="K44" s="28">
        <f t="shared" si="4"/>
        <v>0</v>
      </c>
      <c r="L44" s="28">
        <f t="shared" si="4"/>
        <v>0</v>
      </c>
      <c r="M44" s="28">
        <f t="shared" si="4"/>
        <v>0</v>
      </c>
      <c r="N44" s="28">
        <f>SUM(B44:M44)</f>
        <v>27281.919999999991</v>
      </c>
    </row>
    <row r="45" spans="1:14" ht="16.5" customHeight="1" x14ac:dyDescent="0.2"/>
    <row r="46" spans="1:14" ht="16.5" customHeight="1" x14ac:dyDescent="0.2">
      <c r="A46" s="29" t="s">
        <v>2</v>
      </c>
      <c r="B46" s="30" t="s">
        <v>3</v>
      </c>
      <c r="C46" s="30" t="s">
        <v>4</v>
      </c>
      <c r="D46" s="30" t="s">
        <v>5</v>
      </c>
      <c r="E46" s="30" t="s">
        <v>6</v>
      </c>
      <c r="F46" s="30" t="s">
        <v>7</v>
      </c>
      <c r="G46" s="30" t="s">
        <v>8</v>
      </c>
      <c r="H46" s="30" t="s">
        <v>9</v>
      </c>
      <c r="I46" s="30" t="s">
        <v>10</v>
      </c>
      <c r="J46" s="30" t="s">
        <v>11</v>
      </c>
      <c r="K46" s="30" t="s">
        <v>12</v>
      </c>
      <c r="L46" s="30" t="s">
        <v>13</v>
      </c>
      <c r="M46" s="30" t="s">
        <v>14</v>
      </c>
      <c r="N46" s="30" t="s">
        <v>15</v>
      </c>
    </row>
    <row r="47" spans="1:14" ht="21.75" customHeight="1" x14ac:dyDescent="0.2">
      <c r="A47" s="31" t="s">
        <v>52</v>
      </c>
      <c r="B47" s="32">
        <f t="shared" ref="B47:M47" si="5">(B28-B11)*21/121</f>
        <v>1570.3140495867769</v>
      </c>
      <c r="C47" s="32">
        <f t="shared" si="5"/>
        <v>1694.5264462809916</v>
      </c>
      <c r="D47" s="32">
        <f t="shared" si="5"/>
        <v>2007.5479338842974</v>
      </c>
      <c r="E47" s="32">
        <f t="shared" si="5"/>
        <v>2196.6347107438014</v>
      </c>
      <c r="F47" s="32">
        <f t="shared" si="5"/>
        <v>2781.580165289256</v>
      </c>
      <c r="G47" s="32">
        <f t="shared" si="5"/>
        <v>2153.6714876033056</v>
      </c>
      <c r="H47" s="32">
        <f t="shared" si="5"/>
        <v>2298.9793388429753</v>
      </c>
      <c r="I47" s="32">
        <f t="shared" si="5"/>
        <v>0</v>
      </c>
      <c r="J47" s="32">
        <f t="shared" si="5"/>
        <v>0</v>
      </c>
      <c r="K47" s="32">
        <f t="shared" si="5"/>
        <v>0</v>
      </c>
      <c r="L47" s="32">
        <f t="shared" si="5"/>
        <v>0</v>
      </c>
      <c r="M47" s="32">
        <f t="shared" si="5"/>
        <v>0</v>
      </c>
      <c r="N47" s="33">
        <f>SUM(B47:M47)</f>
        <v>14703.254132231405</v>
      </c>
    </row>
    <row r="48" spans="1:14" ht="15.75" customHeight="1" x14ac:dyDescent="0.2">
      <c r="A48" s="31" t="s">
        <v>53</v>
      </c>
      <c r="B48" s="32">
        <f t="shared" ref="B48:M48" si="6">(B32+B33+B36+B37+B38)*21/121</f>
        <v>312.74380165289256</v>
      </c>
      <c r="C48" s="32">
        <f t="shared" si="6"/>
        <v>380.58942148760332</v>
      </c>
      <c r="D48" s="32">
        <f t="shared" si="6"/>
        <v>715.90909090909088</v>
      </c>
      <c r="E48" s="32">
        <f t="shared" si="6"/>
        <v>563.596611570248</v>
      </c>
      <c r="F48" s="32">
        <f t="shared" si="6"/>
        <v>892.50347107438006</v>
      </c>
      <c r="G48" s="32">
        <f t="shared" si="6"/>
        <v>543.89479338842978</v>
      </c>
      <c r="H48" s="32">
        <f t="shared" si="6"/>
        <v>1601.7637190082642</v>
      </c>
      <c r="I48" s="32">
        <f t="shared" si="6"/>
        <v>0</v>
      </c>
      <c r="J48" s="32">
        <f t="shared" si="6"/>
        <v>0</v>
      </c>
      <c r="K48" s="32">
        <f t="shared" si="6"/>
        <v>0</v>
      </c>
      <c r="L48" s="32">
        <f t="shared" si="6"/>
        <v>0</v>
      </c>
      <c r="M48" s="32">
        <f t="shared" si="6"/>
        <v>0</v>
      </c>
      <c r="N48" s="33">
        <f>SUM(B48:M48)</f>
        <v>5011.000909090908</v>
      </c>
    </row>
    <row r="49" spans="1:14" ht="19.5" customHeight="1" x14ac:dyDescent="0.2">
      <c r="A49" s="34" t="s">
        <v>54</v>
      </c>
      <c r="B49" s="33">
        <f t="shared" ref="B49:M49" si="7">B47-B48</f>
        <v>1257.5702479338843</v>
      </c>
      <c r="C49" s="33">
        <f t="shared" si="7"/>
        <v>1313.9370247933884</v>
      </c>
      <c r="D49" s="33">
        <f t="shared" si="7"/>
        <v>1291.6388429752064</v>
      </c>
      <c r="E49" s="33">
        <f t="shared" si="7"/>
        <v>1633.0380991735533</v>
      </c>
      <c r="F49" s="33">
        <f t="shared" si="7"/>
        <v>1889.0766942148759</v>
      </c>
      <c r="G49" s="33">
        <f t="shared" si="7"/>
        <v>1609.776694214876</v>
      </c>
      <c r="H49" s="33">
        <f t="shared" si="7"/>
        <v>697.21561983471111</v>
      </c>
      <c r="I49" s="33">
        <f t="shared" si="7"/>
        <v>0</v>
      </c>
      <c r="J49" s="33">
        <f t="shared" si="7"/>
        <v>0</v>
      </c>
      <c r="K49" s="33">
        <f t="shared" si="7"/>
        <v>0</v>
      </c>
      <c r="L49" s="33">
        <f t="shared" si="7"/>
        <v>0</v>
      </c>
      <c r="M49" s="33">
        <f t="shared" si="7"/>
        <v>0</v>
      </c>
      <c r="N49" s="33">
        <f>SUM(B49:M49)</f>
        <v>9692.2532231404948</v>
      </c>
    </row>
    <row r="50" spans="1:14" ht="16.5" customHeight="1" x14ac:dyDescent="0.2">
      <c r="A50" s="29" t="s">
        <v>55</v>
      </c>
      <c r="B50" s="35">
        <v>5350</v>
      </c>
      <c r="C50" s="36"/>
      <c r="D50" s="36"/>
      <c r="E50" s="35">
        <f>SUM(B49:D49)</f>
        <v>3863.1461157024792</v>
      </c>
      <c r="F50" s="36"/>
      <c r="G50" s="36"/>
      <c r="H50" s="37">
        <v>5080.84</v>
      </c>
      <c r="I50" s="36"/>
      <c r="J50" s="36"/>
      <c r="K50" s="35"/>
      <c r="L50" s="36"/>
      <c r="M50" s="36"/>
      <c r="N50" s="35">
        <f>SUM(B50:M50)</f>
        <v>14293.986115702479</v>
      </c>
    </row>
    <row r="51" spans="1:14" ht="16.5" customHeight="1" x14ac:dyDescent="0.2"/>
    <row r="52" spans="1:14" ht="16.5" customHeight="1" x14ac:dyDescent="0.2">
      <c r="A52" s="3" t="s">
        <v>2</v>
      </c>
      <c r="B52" s="38" t="s">
        <v>3</v>
      </c>
      <c r="C52" s="38" t="s">
        <v>4</v>
      </c>
      <c r="D52" s="38" t="s">
        <v>5</v>
      </c>
      <c r="E52" s="38" t="s">
        <v>6</v>
      </c>
      <c r="F52" s="38" t="s">
        <v>7</v>
      </c>
      <c r="G52" s="38" t="s">
        <v>8</v>
      </c>
      <c r="H52" s="38" t="s">
        <v>9</v>
      </c>
      <c r="I52" s="38" t="s">
        <v>10</v>
      </c>
      <c r="J52" s="38" t="s">
        <v>11</v>
      </c>
      <c r="K52" s="38" t="s">
        <v>12</v>
      </c>
      <c r="L52" s="38" t="s">
        <v>13</v>
      </c>
      <c r="M52" s="38" t="s">
        <v>14</v>
      </c>
      <c r="N52" s="38" t="s">
        <v>15</v>
      </c>
    </row>
    <row r="53" spans="1:14" ht="21.75" customHeight="1" x14ac:dyDescent="0.2">
      <c r="A53" s="39" t="s">
        <v>56</v>
      </c>
      <c r="B53" s="40">
        <v>464.28</v>
      </c>
      <c r="C53" s="40">
        <v>175.63</v>
      </c>
      <c r="D53" s="40">
        <v>198.84</v>
      </c>
      <c r="E53" s="40">
        <f>E31/2*0.15</f>
        <v>225</v>
      </c>
      <c r="F53" s="40">
        <f>F31/2*0.15</f>
        <v>225</v>
      </c>
      <c r="G53" s="40">
        <v>225</v>
      </c>
      <c r="H53" s="40">
        <v>225</v>
      </c>
      <c r="I53" s="40">
        <f>I31/2*0.15</f>
        <v>0</v>
      </c>
      <c r="J53" s="40">
        <f>J31/2*0.15</f>
        <v>0</v>
      </c>
      <c r="K53" s="40">
        <f>K31/2*0.15</f>
        <v>0</v>
      </c>
      <c r="L53" s="40">
        <f>L31/2*0.15</f>
        <v>0</v>
      </c>
      <c r="M53" s="40">
        <f>M31/2*0.15</f>
        <v>0</v>
      </c>
      <c r="N53" s="41">
        <f>SUM(B53:M53)</f>
        <v>1738.75</v>
      </c>
    </row>
    <row r="54" spans="1:14" ht="15.75" customHeight="1" x14ac:dyDescent="0.2">
      <c r="A54" s="39" t="s">
        <v>57</v>
      </c>
      <c r="B54" s="40">
        <v>235.1</v>
      </c>
      <c r="C54" s="40">
        <v>142.22999999999999</v>
      </c>
      <c r="D54" s="40">
        <v>197.42</v>
      </c>
      <c r="E54" s="40">
        <f>E31/2*0.15</f>
        <v>225</v>
      </c>
      <c r="F54" s="40">
        <f>F31/2*0.15</f>
        <v>225</v>
      </c>
      <c r="G54" s="40">
        <v>225</v>
      </c>
      <c r="H54" s="40">
        <v>225</v>
      </c>
      <c r="I54" s="40">
        <f>I31/2*0.15</f>
        <v>0</v>
      </c>
      <c r="J54" s="40">
        <f>J31/2*0.15</f>
        <v>0</v>
      </c>
      <c r="K54" s="40">
        <f>K31/2*0.15</f>
        <v>0</v>
      </c>
      <c r="L54" s="40">
        <f>L31/2*0.15</f>
        <v>0</v>
      </c>
      <c r="M54" s="40">
        <f>M31/2*0.15</f>
        <v>0</v>
      </c>
      <c r="N54" s="41">
        <f>SUM(B54:M54)</f>
        <v>1474.75</v>
      </c>
    </row>
    <row r="55" spans="1:14" ht="19.5" customHeight="1" x14ac:dyDescent="0.2">
      <c r="A55" s="39" t="s">
        <v>58</v>
      </c>
      <c r="B55" s="40">
        <f>B37*0.07/1.21</f>
        <v>23.1404958677686</v>
      </c>
      <c r="C55" s="40">
        <f>C37*0.07/1.21</f>
        <v>21.000000000000004</v>
      </c>
      <c r="D55" s="40">
        <v>62.02</v>
      </c>
      <c r="E55" s="40">
        <f>E37*0.07/1.21</f>
        <v>78.041322314049594</v>
      </c>
      <c r="F55" s="40">
        <f>F37*0.07/1.21</f>
        <v>67.8803305785124</v>
      </c>
      <c r="G55" s="40">
        <v>108.07</v>
      </c>
      <c r="H55" s="40">
        <v>84</v>
      </c>
      <c r="I55" s="40">
        <f>I37*0.07/1.21</f>
        <v>0</v>
      </c>
      <c r="J55" s="40">
        <f>J37*0.07/1.21</f>
        <v>0</v>
      </c>
      <c r="K55" s="40">
        <f>K37*0.07/1.21</f>
        <v>0</v>
      </c>
      <c r="L55" s="40">
        <f>L37*0.07/1.21</f>
        <v>0</v>
      </c>
      <c r="M55" s="40">
        <f>M37*0.07/1.21</f>
        <v>0</v>
      </c>
      <c r="N55" s="41">
        <f>SUM(B55:M55)</f>
        <v>444.15214876033065</v>
      </c>
    </row>
    <row r="56" spans="1:14" ht="24" customHeight="1" x14ac:dyDescent="0.2">
      <c r="A56" s="3" t="s">
        <v>59</v>
      </c>
      <c r="B56" s="42">
        <v>0</v>
      </c>
      <c r="C56" s="42">
        <v>0</v>
      </c>
      <c r="D56" s="42">
        <v>0</v>
      </c>
      <c r="E56" s="43">
        <f>SUM(B53:D53)+SUM(B54:D54)+SUM(B55:D55)</f>
        <v>1519.6604958677685</v>
      </c>
      <c r="F56" s="42">
        <v>0</v>
      </c>
      <c r="G56" s="42">
        <v>0</v>
      </c>
      <c r="H56" s="44">
        <f>SUM(E53:G53)+SUM(E54:G54)+SUM(E55:G55)</f>
        <v>1603.9916528925619</v>
      </c>
      <c r="I56" s="42">
        <v>0</v>
      </c>
      <c r="J56" s="42">
        <v>0</v>
      </c>
      <c r="K56" s="43"/>
      <c r="L56" s="42">
        <v>0</v>
      </c>
      <c r="M56" s="42">
        <v>0</v>
      </c>
      <c r="N56" s="43">
        <f>SUM(B56:M56)</f>
        <v>3123.6521487603304</v>
      </c>
    </row>
    <row r="58" spans="1:14" ht="15.75" customHeight="1" x14ac:dyDescent="0.2">
      <c r="A58" s="6" t="s">
        <v>2</v>
      </c>
      <c r="B58" s="7" t="s">
        <v>3</v>
      </c>
      <c r="C58" s="7" t="s">
        <v>4</v>
      </c>
      <c r="D58" s="7" t="s">
        <v>5</v>
      </c>
      <c r="E58" s="7" t="s">
        <v>6</v>
      </c>
      <c r="F58" s="7" t="s">
        <v>7</v>
      </c>
      <c r="G58" s="7" t="s">
        <v>8</v>
      </c>
      <c r="H58" s="7" t="s">
        <v>9</v>
      </c>
      <c r="I58" s="7" t="s">
        <v>10</v>
      </c>
      <c r="J58" s="7" t="s">
        <v>11</v>
      </c>
      <c r="K58" s="7" t="s">
        <v>12</v>
      </c>
      <c r="L58" s="7" t="s">
        <v>13</v>
      </c>
      <c r="M58" s="7" t="s">
        <v>14</v>
      </c>
      <c r="N58" s="7" t="s">
        <v>15</v>
      </c>
    </row>
    <row r="59" spans="1:14" ht="24" customHeight="1" x14ac:dyDescent="0.2">
      <c r="A59" s="45" t="s">
        <v>60</v>
      </c>
      <c r="B59" s="46">
        <f t="shared" ref="B59:M59" si="8">B44-B50-B56</f>
        <v>-5406</v>
      </c>
      <c r="C59" s="46">
        <f t="shared" si="8"/>
        <v>3568.7799999999988</v>
      </c>
      <c r="D59" s="46">
        <f t="shared" si="8"/>
        <v>3822.2999999999993</v>
      </c>
      <c r="E59" s="46">
        <f t="shared" si="8"/>
        <v>656.60338842975125</v>
      </c>
      <c r="F59" s="46">
        <f t="shared" si="8"/>
        <v>7634.0799999999981</v>
      </c>
      <c r="G59" s="46">
        <f t="shared" si="8"/>
        <v>5524.2199999999993</v>
      </c>
      <c r="H59" s="46">
        <f t="shared" si="8"/>
        <v>-5935.7016528925633</v>
      </c>
      <c r="I59" s="46">
        <f t="shared" si="8"/>
        <v>0</v>
      </c>
      <c r="J59" s="46">
        <f t="shared" si="8"/>
        <v>0</v>
      </c>
      <c r="K59" s="46">
        <f t="shared" si="8"/>
        <v>0</v>
      </c>
      <c r="L59" s="46">
        <f t="shared" si="8"/>
        <v>0</v>
      </c>
      <c r="M59" s="46">
        <f t="shared" si="8"/>
        <v>0</v>
      </c>
      <c r="N59" s="46">
        <f>SUM(B59:M59)</f>
        <v>9864.2817355371826</v>
      </c>
    </row>
    <row r="60" spans="1:14" ht="18" customHeight="1" x14ac:dyDescent="0.2">
      <c r="G60" s="47"/>
    </row>
    <row r="61" spans="1:14" ht="15.75" customHeight="1" x14ac:dyDescent="0.2"/>
    <row r="62" spans="1:14" ht="15.75" customHeight="1" x14ac:dyDescent="0.2">
      <c r="A62" s="6" t="s">
        <v>61</v>
      </c>
      <c r="H62" s="47"/>
    </row>
    <row r="63" spans="1:14" ht="18" customHeight="1" x14ac:dyDescent="0.2">
      <c r="A63" s="48" t="s">
        <v>62</v>
      </c>
      <c r="B63" s="49">
        <f>SUM(B64:B64)</f>
        <v>171.9</v>
      </c>
    </row>
    <row r="64" spans="1:14" ht="15.75" customHeight="1" x14ac:dyDescent="0.2">
      <c r="A64" s="50" t="s">
        <v>63</v>
      </c>
      <c r="B64" s="51">
        <v>171.9</v>
      </c>
    </row>
    <row r="66" spans="1:16" ht="18" customHeight="1" x14ac:dyDescent="0.2">
      <c r="A66" s="48" t="s">
        <v>64</v>
      </c>
      <c r="B66" s="49">
        <f>SUM(B67:B67)</f>
        <v>242</v>
      </c>
    </row>
    <row r="67" spans="1:16" ht="15.75" customHeight="1" x14ac:dyDescent="0.2">
      <c r="A67" s="50" t="s">
        <v>65</v>
      </c>
      <c r="B67" s="51">
        <v>242</v>
      </c>
    </row>
    <row r="69" spans="1:16" ht="18" customHeight="1" x14ac:dyDescent="0.2">
      <c r="A69" s="48" t="s">
        <v>66</v>
      </c>
      <c r="B69" s="49">
        <f>SUM(B70:B70)</f>
        <v>242</v>
      </c>
    </row>
    <row r="70" spans="1:16" ht="15.75" customHeight="1" x14ac:dyDescent="0.2">
      <c r="A70" s="50" t="s">
        <v>67</v>
      </c>
      <c r="B70" s="51">
        <v>242</v>
      </c>
    </row>
    <row r="71" spans="1:16" ht="15.75" customHeight="1" x14ac:dyDescent="0.2"/>
    <row r="72" spans="1:16" ht="15.75" customHeight="1" x14ac:dyDescent="0.2">
      <c r="A72" s="48" t="s">
        <v>68</v>
      </c>
      <c r="B72" s="49">
        <f>SUM(B73:B74)</f>
        <v>736</v>
      </c>
    </row>
    <row r="73" spans="1:16" ht="18" customHeight="1" x14ac:dyDescent="0.2">
      <c r="A73" s="50" t="s">
        <v>69</v>
      </c>
      <c r="B73" s="51">
        <v>736</v>
      </c>
    </row>
    <row r="74" spans="1:16" ht="15.75" customHeight="1" x14ac:dyDescent="0.2"/>
    <row r="75" spans="1:16" ht="15.75" customHeight="1" x14ac:dyDescent="0.2">
      <c r="A75" s="48" t="s">
        <v>70</v>
      </c>
      <c r="B75" s="49">
        <f>SUM(B76:B76)</f>
        <v>514.25</v>
      </c>
    </row>
    <row r="76" spans="1:16" ht="19.5" customHeight="1" x14ac:dyDescent="0.2">
      <c r="A76" s="50" t="s">
        <v>71</v>
      </c>
      <c r="B76" s="51">
        <v>514.25</v>
      </c>
    </row>
    <row r="77" spans="1:16" ht="18" customHeight="1" x14ac:dyDescent="0.2">
      <c r="A77" s="48" t="s">
        <v>72</v>
      </c>
      <c r="B77" s="49">
        <f>SUM(B78:B78)</f>
        <v>0</v>
      </c>
    </row>
    <row r="78" spans="1:16" ht="15.75" customHeight="1" x14ac:dyDescent="0.2">
      <c r="A78" s="52" t="s">
        <v>73</v>
      </c>
      <c r="B78" s="53">
        <v>0</v>
      </c>
    </row>
    <row r="79" spans="1:16" ht="15.75" customHeight="1" x14ac:dyDescent="0.2"/>
    <row r="80" spans="1:16" ht="15.75" customHeight="1" x14ac:dyDescent="0.2">
      <c r="A80" s="1" t="s">
        <v>74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8" ht="15.75" customHeight="1" x14ac:dyDescent="0.2">
      <c r="A81" s="48" t="s">
        <v>75</v>
      </c>
      <c r="B81" s="49">
        <f>SUM(B82:B87)</f>
        <v>552</v>
      </c>
      <c r="D81" s="54" t="s">
        <v>76</v>
      </c>
      <c r="E81" s="55">
        <f>SUM(E82:E89)</f>
        <v>5513.19</v>
      </c>
      <c r="F81" s="56" t="s">
        <v>77</v>
      </c>
      <c r="G81" s="57"/>
      <c r="H81" s="57"/>
    </row>
    <row r="82" spans="1:8" ht="15.75" customHeight="1" x14ac:dyDescent="0.2">
      <c r="A82" s="50" t="s">
        <v>78</v>
      </c>
      <c r="B82" s="51">
        <v>62</v>
      </c>
      <c r="D82" s="58" t="s">
        <v>79</v>
      </c>
      <c r="E82" s="59">
        <v>1368</v>
      </c>
    </row>
    <row r="83" spans="1:8" ht="15.75" customHeight="1" x14ac:dyDescent="0.2">
      <c r="A83" s="50" t="s">
        <v>80</v>
      </c>
      <c r="B83" s="51">
        <v>40</v>
      </c>
      <c r="D83" s="58" t="s">
        <v>81</v>
      </c>
      <c r="E83" s="59">
        <v>640.45000000000005</v>
      </c>
    </row>
    <row r="84" spans="1:8" ht="15.75" customHeight="1" x14ac:dyDescent="0.2">
      <c r="A84" s="50" t="s">
        <v>82</v>
      </c>
      <c r="B84" s="51">
        <v>85</v>
      </c>
      <c r="D84" s="58" t="s">
        <v>83</v>
      </c>
      <c r="E84" s="59">
        <v>209.88</v>
      </c>
    </row>
    <row r="85" spans="1:8" ht="18" customHeight="1" x14ac:dyDescent="0.2">
      <c r="A85" s="50" t="s">
        <v>84</v>
      </c>
      <c r="B85" s="51">
        <v>8</v>
      </c>
      <c r="D85" s="60" t="s">
        <v>85</v>
      </c>
      <c r="E85" s="61">
        <v>410.4</v>
      </c>
    </row>
    <row r="86" spans="1:8" ht="15.75" customHeight="1" x14ac:dyDescent="0.2">
      <c r="A86" s="50" t="s">
        <v>86</v>
      </c>
      <c r="B86" s="51">
        <v>50</v>
      </c>
      <c r="D86" s="60" t="s">
        <v>87</v>
      </c>
      <c r="E86" s="61">
        <v>547.20000000000005</v>
      </c>
    </row>
    <row r="87" spans="1:8" ht="15.75" customHeight="1" x14ac:dyDescent="0.2">
      <c r="A87" s="50" t="s">
        <v>88</v>
      </c>
      <c r="B87" s="51">
        <v>307</v>
      </c>
      <c r="D87" s="62" t="s">
        <v>89</v>
      </c>
      <c r="E87" s="63">
        <v>1368</v>
      </c>
    </row>
    <row r="88" spans="1:8" ht="15.75" customHeight="1" x14ac:dyDescent="0.2">
      <c r="D88" s="62" t="s">
        <v>90</v>
      </c>
      <c r="E88" s="63">
        <v>644.9</v>
      </c>
    </row>
    <row r="89" spans="1:8" ht="15.75" customHeight="1" x14ac:dyDescent="0.2">
      <c r="A89" s="48" t="s">
        <v>62</v>
      </c>
      <c r="B89" s="49">
        <f>SUM(B90:B95)</f>
        <v>1025.81</v>
      </c>
      <c r="D89" s="62" t="s">
        <v>91</v>
      </c>
      <c r="E89" s="63">
        <v>324.36</v>
      </c>
    </row>
    <row r="90" spans="1:8" ht="15.75" customHeight="1" x14ac:dyDescent="0.2">
      <c r="A90" s="50" t="s">
        <v>92</v>
      </c>
      <c r="B90" s="51">
        <v>25</v>
      </c>
      <c r="D90" s="64"/>
      <c r="E90" s="65"/>
    </row>
    <row r="91" spans="1:8" ht="15.75" customHeight="1" x14ac:dyDescent="0.2">
      <c r="A91" s="50" t="s">
        <v>93</v>
      </c>
      <c r="B91" s="51">
        <v>15</v>
      </c>
    </row>
    <row r="92" spans="1:8" ht="15.75" customHeight="1" x14ac:dyDescent="0.2">
      <c r="A92" s="50" t="s">
        <v>94</v>
      </c>
      <c r="B92" s="51">
        <v>62</v>
      </c>
    </row>
    <row r="93" spans="1:8" ht="18" customHeight="1" x14ac:dyDescent="0.2">
      <c r="A93" s="50" t="s">
        <v>95</v>
      </c>
      <c r="B93" s="51">
        <v>447.7</v>
      </c>
    </row>
    <row r="94" spans="1:8" ht="15.75" customHeight="1" x14ac:dyDescent="0.2">
      <c r="A94" s="50" t="s">
        <v>96</v>
      </c>
      <c r="B94" s="51">
        <v>50</v>
      </c>
    </row>
    <row r="95" spans="1:8" ht="15.75" customHeight="1" x14ac:dyDescent="0.2">
      <c r="A95" s="50" t="s">
        <v>97</v>
      </c>
      <c r="B95" s="51">
        <v>426.11</v>
      </c>
    </row>
    <row r="96" spans="1:8" ht="15.75" customHeight="1" x14ac:dyDescent="0.2"/>
    <row r="97" spans="1:2" ht="15.75" customHeight="1" x14ac:dyDescent="0.2">
      <c r="A97" s="48" t="s">
        <v>64</v>
      </c>
      <c r="B97" s="49">
        <f>SUM(B98:B105)</f>
        <v>1814.41</v>
      </c>
    </row>
    <row r="98" spans="1:2" ht="15.75" customHeight="1" x14ac:dyDescent="0.2">
      <c r="A98" s="50" t="s">
        <v>98</v>
      </c>
      <c r="B98" s="51">
        <v>31.9</v>
      </c>
    </row>
    <row r="99" spans="1:2" ht="15.75" customHeight="1" x14ac:dyDescent="0.2">
      <c r="A99" s="50" t="s">
        <v>99</v>
      </c>
      <c r="B99" s="51">
        <v>588</v>
      </c>
    </row>
    <row r="100" spans="1:2" ht="15.75" customHeight="1" x14ac:dyDescent="0.2">
      <c r="A100" s="50" t="s">
        <v>100</v>
      </c>
      <c r="B100" s="51">
        <v>700</v>
      </c>
    </row>
    <row r="101" spans="1:2" ht="15.75" customHeight="1" x14ac:dyDescent="0.2">
      <c r="A101" s="50" t="s">
        <v>101</v>
      </c>
      <c r="B101" s="51">
        <v>147.80000000000001</v>
      </c>
    </row>
    <row r="102" spans="1:2" ht="15.75" customHeight="1" x14ac:dyDescent="0.2">
      <c r="A102" s="50" t="s">
        <v>102</v>
      </c>
      <c r="B102" s="51">
        <v>17.510000000000002</v>
      </c>
    </row>
    <row r="103" spans="1:2" ht="18" customHeight="1" x14ac:dyDescent="0.2">
      <c r="A103" s="50" t="s">
        <v>103</v>
      </c>
      <c r="B103" s="51">
        <v>24.2</v>
      </c>
    </row>
    <row r="104" spans="1:2" ht="15.75" customHeight="1" x14ac:dyDescent="0.2">
      <c r="A104" s="50" t="s">
        <v>104</v>
      </c>
      <c r="B104" s="51">
        <v>255</v>
      </c>
    </row>
    <row r="105" spans="1:2" ht="15.75" customHeight="1" x14ac:dyDescent="0.2">
      <c r="A105" s="50" t="s">
        <v>105</v>
      </c>
      <c r="B105" s="51">
        <v>50</v>
      </c>
    </row>
    <row r="106" spans="1:2" ht="15.75" customHeight="1" x14ac:dyDescent="0.2"/>
    <row r="107" spans="1:2" ht="15.75" customHeight="1" x14ac:dyDescent="0.2">
      <c r="A107" s="48" t="s">
        <v>66</v>
      </c>
      <c r="B107" s="49">
        <f>SUM(B108:B113)</f>
        <v>1296.1299999999999</v>
      </c>
    </row>
    <row r="108" spans="1:2" ht="15.75" customHeight="1" x14ac:dyDescent="0.2">
      <c r="A108" s="50" t="s">
        <v>106</v>
      </c>
      <c r="B108" s="51">
        <v>638</v>
      </c>
    </row>
    <row r="109" spans="1:2" ht="15.75" customHeight="1" x14ac:dyDescent="0.2">
      <c r="A109" s="50" t="s">
        <v>107</v>
      </c>
      <c r="B109" s="51">
        <v>500</v>
      </c>
    </row>
    <row r="110" spans="1:2" ht="15.75" customHeight="1" x14ac:dyDescent="0.2">
      <c r="A110" s="50" t="s">
        <v>108</v>
      </c>
      <c r="B110" s="51">
        <v>7</v>
      </c>
    </row>
    <row r="111" spans="1:2" ht="18" customHeight="1" x14ac:dyDescent="0.2">
      <c r="A111" s="50" t="s">
        <v>109</v>
      </c>
      <c r="B111" s="51">
        <v>5.53</v>
      </c>
    </row>
    <row r="112" spans="1:2" ht="15.75" customHeight="1" x14ac:dyDescent="0.2">
      <c r="A112" s="50" t="s">
        <v>110</v>
      </c>
      <c r="B112" s="51">
        <v>6.6</v>
      </c>
    </row>
    <row r="113" spans="1:2" ht="15.75" customHeight="1" x14ac:dyDescent="0.2">
      <c r="A113" s="50" t="s">
        <v>111</v>
      </c>
      <c r="B113" s="51">
        <v>139</v>
      </c>
    </row>
    <row r="114" spans="1:2" ht="15.75" customHeight="1" x14ac:dyDescent="0.2"/>
    <row r="115" spans="1:2" ht="15.75" customHeight="1" x14ac:dyDescent="0.2">
      <c r="A115" s="48" t="s">
        <v>68</v>
      </c>
      <c r="B115" s="49">
        <f>SUM(B116:B122)</f>
        <v>3301.8999999999996</v>
      </c>
    </row>
    <row r="116" spans="1:2" ht="15.75" customHeight="1" x14ac:dyDescent="0.2">
      <c r="A116" s="50" t="s">
        <v>112</v>
      </c>
      <c r="B116" s="51">
        <v>1073</v>
      </c>
    </row>
    <row r="117" spans="1:2" ht="15.75" customHeight="1" x14ac:dyDescent="0.2">
      <c r="A117" s="50" t="s">
        <v>113</v>
      </c>
      <c r="B117" s="51">
        <v>1266.81</v>
      </c>
    </row>
    <row r="118" spans="1:2" ht="15.75" customHeight="1" x14ac:dyDescent="0.2">
      <c r="A118" s="50" t="s">
        <v>108</v>
      </c>
      <c r="B118" s="51">
        <v>31.16</v>
      </c>
    </row>
    <row r="119" spans="1:2" ht="15.75" customHeight="1" x14ac:dyDescent="0.2">
      <c r="A119" s="50" t="s">
        <v>109</v>
      </c>
      <c r="B119" s="51">
        <v>5.53</v>
      </c>
    </row>
    <row r="120" spans="1:2" ht="18" customHeight="1" x14ac:dyDescent="0.2">
      <c r="A120" s="50" t="s">
        <v>114</v>
      </c>
      <c r="B120" s="51">
        <v>92.16</v>
      </c>
    </row>
    <row r="121" spans="1:2" ht="15.75" customHeight="1" x14ac:dyDescent="0.2">
      <c r="A121" s="50" t="s">
        <v>115</v>
      </c>
      <c r="B121" s="51">
        <v>195.24</v>
      </c>
    </row>
    <row r="122" spans="1:2" ht="15.75" customHeight="1" x14ac:dyDescent="0.2">
      <c r="A122" s="50" t="s">
        <v>116</v>
      </c>
      <c r="B122" s="51">
        <v>638</v>
      </c>
    </row>
    <row r="123" spans="1:2" ht="15.75" customHeight="1" x14ac:dyDescent="0.2"/>
    <row r="124" spans="1:2" ht="15.75" customHeight="1" x14ac:dyDescent="0.2">
      <c r="A124" s="48" t="s">
        <v>70</v>
      </c>
      <c r="B124" s="49">
        <f>SUM(B125:B128)</f>
        <v>489.87</v>
      </c>
    </row>
    <row r="125" spans="1:2" ht="15.75" customHeight="1" x14ac:dyDescent="0.2">
      <c r="A125" s="50" t="s">
        <v>117</v>
      </c>
      <c r="B125" s="51">
        <v>435.6</v>
      </c>
    </row>
    <row r="126" spans="1:2" ht="15.75" customHeight="1" x14ac:dyDescent="0.2">
      <c r="A126" s="50" t="s">
        <v>118</v>
      </c>
      <c r="B126" s="51">
        <v>19.739999999999998</v>
      </c>
    </row>
    <row r="127" spans="1:2" ht="15.75" customHeight="1" x14ac:dyDescent="0.2">
      <c r="A127" s="50" t="s">
        <v>119</v>
      </c>
      <c r="B127" s="51">
        <v>29</v>
      </c>
    </row>
    <row r="128" spans="1:2" ht="15.75" customHeight="1" x14ac:dyDescent="0.2">
      <c r="A128" s="50" t="s">
        <v>120</v>
      </c>
      <c r="B128" s="51">
        <v>5.53</v>
      </c>
    </row>
    <row r="129" spans="1:8" ht="15.75" customHeight="1" x14ac:dyDescent="0.2">
      <c r="A129" s="48" t="s">
        <v>72</v>
      </c>
      <c r="B129" s="49">
        <f>SUM(B130:B136)</f>
        <v>3013.8099999999995</v>
      </c>
    </row>
    <row r="130" spans="1:8" ht="15.75" customHeight="1" x14ac:dyDescent="0.2">
      <c r="A130" s="50" t="s">
        <v>121</v>
      </c>
      <c r="B130" s="51">
        <v>2468.4</v>
      </c>
    </row>
    <row r="131" spans="1:8" ht="15.75" customHeight="1" x14ac:dyDescent="0.2">
      <c r="A131" s="50" t="s">
        <v>122</v>
      </c>
      <c r="B131" s="51">
        <v>144.93</v>
      </c>
    </row>
    <row r="132" spans="1:8" ht="15.75" customHeight="1" x14ac:dyDescent="0.2">
      <c r="A132" s="50" t="s">
        <v>123</v>
      </c>
      <c r="B132" s="51">
        <v>108.2</v>
      </c>
    </row>
    <row r="133" spans="1:8" ht="15.75" customHeight="1" x14ac:dyDescent="0.2">
      <c r="A133" s="50" t="s">
        <v>124</v>
      </c>
      <c r="B133" s="51">
        <v>32.5</v>
      </c>
    </row>
    <row r="134" spans="1:8" ht="15.75" customHeight="1" x14ac:dyDescent="0.2">
      <c r="A134" s="50" t="s">
        <v>125</v>
      </c>
      <c r="B134" s="51">
        <v>30.46</v>
      </c>
    </row>
    <row r="135" spans="1:8" ht="15.75" customHeight="1" x14ac:dyDescent="0.2">
      <c r="A135" s="50" t="s">
        <v>126</v>
      </c>
      <c r="B135" s="51">
        <v>223.85</v>
      </c>
    </row>
    <row r="136" spans="1:8" ht="15.75" customHeight="1" x14ac:dyDescent="0.2">
      <c r="A136" s="50" t="s">
        <v>120</v>
      </c>
      <c r="B136" s="51">
        <v>5.47</v>
      </c>
    </row>
    <row r="138" spans="1:8" ht="15.75" customHeight="1" x14ac:dyDescent="0.2">
      <c r="A138" s="66"/>
      <c r="B138" s="67"/>
    </row>
    <row r="139" spans="1:8" ht="15.75" customHeight="1" x14ac:dyDescent="0.2">
      <c r="A139" s="68"/>
      <c r="C139" s="67"/>
      <c r="D139" s="67"/>
      <c r="E139" s="67"/>
      <c r="F139" s="67"/>
      <c r="G139" s="67"/>
      <c r="H139" s="67"/>
    </row>
    <row r="140" spans="1:8" ht="15.75" customHeight="1" x14ac:dyDescent="0.2">
      <c r="A140" s="66"/>
      <c r="B140" s="69"/>
    </row>
    <row r="141" spans="1:8" ht="15.75" customHeight="1" x14ac:dyDescent="0.2">
      <c r="A141" s="70"/>
      <c r="B141" s="67"/>
    </row>
    <row r="142" spans="1:8" ht="15.75" customHeight="1" x14ac:dyDescent="0.2">
      <c r="A142" s="70"/>
      <c r="B142" s="67"/>
    </row>
    <row r="143" spans="1:8" ht="15.75" customHeight="1" x14ac:dyDescent="0.2">
      <c r="A143" s="70"/>
      <c r="B143" s="67"/>
    </row>
    <row r="144" spans="1:8" ht="15.75" customHeight="1" x14ac:dyDescent="0.2">
      <c r="A144" s="71"/>
      <c r="B144" s="72"/>
    </row>
    <row r="145" spans="1:2" ht="15.75" customHeight="1" x14ac:dyDescent="0.2">
      <c r="A145" s="71"/>
      <c r="B145" s="72"/>
    </row>
    <row r="146" spans="1:2" ht="15.75" customHeight="1" x14ac:dyDescent="0.2">
      <c r="A146" s="73"/>
      <c r="B146" s="74"/>
    </row>
    <row r="147" spans="1:2" ht="15.75" customHeight="1" x14ac:dyDescent="0.2">
      <c r="A147" s="73"/>
      <c r="B147" s="74"/>
    </row>
    <row r="148" spans="1:2" ht="15.75" customHeight="1" x14ac:dyDescent="0.2">
      <c r="A148" s="73"/>
      <c r="B148" s="74"/>
    </row>
  </sheetData>
  <mergeCells count="2">
    <mergeCell ref="A1:N1"/>
    <mergeCell ref="A2:N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0" sqref="B20"/>
    </sheetView>
  </sheetViews>
  <sheetFormatPr baseColWidth="10" defaultColWidth="8.83203125" defaultRowHeight="16" x14ac:dyDescent="0.2"/>
  <cols>
    <col min="1" max="1" width="34" customWidth="1"/>
    <col min="2" max="6" width="13" customWidth="1"/>
    <col min="7" max="7" width="15" customWidth="1"/>
  </cols>
  <sheetData>
    <row r="1" spans="1:7" ht="25.5" customHeight="1" x14ac:dyDescent="0.2">
      <c r="A1" s="117" t="s">
        <v>127</v>
      </c>
      <c r="B1" s="117"/>
      <c r="C1" s="117"/>
      <c r="D1" s="117"/>
      <c r="E1" s="117"/>
      <c r="F1" s="117"/>
      <c r="G1" s="117"/>
    </row>
    <row r="2" spans="1:7" ht="12.75" customHeight="1" x14ac:dyDescent="0.2">
      <c r="A2" s="118" t="s">
        <v>128</v>
      </c>
      <c r="B2" s="118"/>
      <c r="C2" s="118"/>
      <c r="D2" s="118"/>
      <c r="E2" s="118"/>
      <c r="F2" s="118"/>
      <c r="G2" s="118"/>
    </row>
    <row r="3" spans="1:7" ht="18" customHeight="1" x14ac:dyDescent="0.2">
      <c r="A3" s="6" t="s">
        <v>129</v>
      </c>
      <c r="B3" s="7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130</v>
      </c>
    </row>
    <row r="4" spans="1:7" ht="15.75" customHeight="1" x14ac:dyDescent="0.2">
      <c r="A4" s="8" t="s">
        <v>16</v>
      </c>
      <c r="B4" s="9">
        <v>1815</v>
      </c>
      <c r="C4" s="9">
        <v>1815</v>
      </c>
      <c r="D4" s="9">
        <v>1815</v>
      </c>
      <c r="E4" s="9">
        <v>1815</v>
      </c>
      <c r="F4" s="9">
        <v>1815</v>
      </c>
      <c r="G4" s="11">
        <f t="shared" ref="G4:G25" si="0">SUM(B4:F4)</f>
        <v>9075</v>
      </c>
    </row>
    <row r="5" spans="1:7" ht="15.75" customHeight="1" x14ac:dyDescent="0.2">
      <c r="A5" s="8" t="s">
        <v>18</v>
      </c>
      <c r="B5" s="9">
        <v>1064.8</v>
      </c>
      <c r="C5" s="9">
        <v>1064.8</v>
      </c>
      <c r="D5" s="9">
        <v>1064.8</v>
      </c>
      <c r="E5" s="9">
        <v>1064.8</v>
      </c>
      <c r="F5" s="9">
        <v>1064.8</v>
      </c>
      <c r="G5" s="11">
        <f t="shared" si="0"/>
        <v>5324</v>
      </c>
    </row>
    <row r="6" spans="1:7" ht="15.75" customHeight="1" x14ac:dyDescent="0.2">
      <c r="A6" s="8" t="s">
        <v>19</v>
      </c>
      <c r="B6" s="9">
        <v>0</v>
      </c>
      <c r="C6" s="9">
        <v>217.8</v>
      </c>
      <c r="D6" s="9">
        <v>217.8</v>
      </c>
      <c r="E6" s="9">
        <v>217.8</v>
      </c>
      <c r="F6" s="9">
        <v>217.8</v>
      </c>
      <c r="G6" s="11">
        <f t="shared" si="0"/>
        <v>871.2</v>
      </c>
    </row>
    <row r="7" spans="1:7" ht="15.75" customHeight="1" x14ac:dyDescent="0.2">
      <c r="A7" s="8" t="s">
        <v>20</v>
      </c>
      <c r="B7" s="75"/>
      <c r="C7" s="9">
        <v>1028.5</v>
      </c>
      <c r="D7" s="9">
        <v>1028.5</v>
      </c>
      <c r="E7" s="9">
        <v>1028.5</v>
      </c>
      <c r="F7" s="9">
        <v>1028.5</v>
      </c>
      <c r="G7" s="11">
        <f t="shared" si="0"/>
        <v>4114</v>
      </c>
    </row>
    <row r="8" spans="1:7" ht="15.75" customHeight="1" x14ac:dyDescent="0.2">
      <c r="A8" s="8" t="s">
        <v>21</v>
      </c>
      <c r="B8" s="9">
        <v>834.9</v>
      </c>
      <c r="C8" s="9">
        <v>834.9</v>
      </c>
      <c r="D8" s="9">
        <v>834.9</v>
      </c>
      <c r="E8" s="9">
        <v>834.9</v>
      </c>
      <c r="F8" s="9">
        <v>834.9</v>
      </c>
      <c r="G8" s="11">
        <f t="shared" si="0"/>
        <v>4174.5</v>
      </c>
    </row>
    <row r="9" spans="1:7" ht="15.75" customHeight="1" x14ac:dyDescent="0.2">
      <c r="A9" s="8" t="s">
        <v>22</v>
      </c>
      <c r="B9" s="9">
        <v>400</v>
      </c>
      <c r="C9" s="9">
        <v>400</v>
      </c>
      <c r="D9" s="9">
        <v>400</v>
      </c>
      <c r="E9" s="9">
        <v>400</v>
      </c>
      <c r="F9" s="9">
        <v>400</v>
      </c>
      <c r="G9" s="11">
        <f t="shared" si="0"/>
        <v>2000</v>
      </c>
    </row>
    <row r="10" spans="1:7" ht="15.75" customHeight="1" x14ac:dyDescent="0.2">
      <c r="A10" s="8" t="s">
        <v>23</v>
      </c>
      <c r="B10" s="9">
        <v>605</v>
      </c>
      <c r="C10" s="9">
        <v>605</v>
      </c>
      <c r="D10" s="9">
        <v>605</v>
      </c>
      <c r="E10" s="9">
        <v>605</v>
      </c>
      <c r="F10" s="9">
        <v>605</v>
      </c>
      <c r="G10" s="11">
        <f t="shared" si="0"/>
        <v>3025</v>
      </c>
    </row>
    <row r="11" spans="1:7" ht="15.75" customHeight="1" x14ac:dyDescent="0.2">
      <c r="A11" s="8" t="s">
        <v>131</v>
      </c>
      <c r="B11" s="9">
        <v>363</v>
      </c>
      <c r="C11" s="9">
        <v>363</v>
      </c>
      <c r="D11" s="9">
        <v>363</v>
      </c>
      <c r="E11" s="9">
        <v>363</v>
      </c>
      <c r="F11" s="9">
        <v>363</v>
      </c>
      <c r="G11" s="11">
        <f t="shared" si="0"/>
        <v>1815</v>
      </c>
    </row>
    <row r="12" spans="1:7" ht="15.75" customHeight="1" x14ac:dyDescent="0.2">
      <c r="A12" s="8" t="s">
        <v>26</v>
      </c>
      <c r="B12" s="9">
        <v>0</v>
      </c>
      <c r="C12" s="9">
        <v>1270.5</v>
      </c>
      <c r="D12" s="9">
        <v>1270.5</v>
      </c>
      <c r="E12" s="9">
        <v>1270.5</v>
      </c>
      <c r="F12" s="9">
        <v>1270.5</v>
      </c>
      <c r="G12" s="11">
        <f t="shared" si="0"/>
        <v>5082</v>
      </c>
    </row>
    <row r="13" spans="1:7" ht="15.75" customHeight="1" x14ac:dyDescent="0.2">
      <c r="A13" s="8" t="s">
        <v>30</v>
      </c>
      <c r="B13" s="9">
        <v>0</v>
      </c>
      <c r="C13" s="9">
        <v>338.8</v>
      </c>
      <c r="D13" s="9">
        <v>338.8</v>
      </c>
      <c r="E13" s="9">
        <v>338.8</v>
      </c>
      <c r="F13" s="9">
        <v>338.8</v>
      </c>
      <c r="G13" s="11">
        <f t="shared" si="0"/>
        <v>1355.2</v>
      </c>
    </row>
    <row r="14" spans="1:7" ht="15.75" customHeight="1" x14ac:dyDescent="0.2">
      <c r="A14" s="8" t="s">
        <v>31</v>
      </c>
      <c r="B14" s="9">
        <v>544.5</v>
      </c>
      <c r="C14" s="9">
        <v>544.5</v>
      </c>
      <c r="D14" s="9">
        <v>544.5</v>
      </c>
      <c r="E14" s="9">
        <v>544.5</v>
      </c>
      <c r="F14" s="9">
        <v>544.5</v>
      </c>
      <c r="G14" s="11">
        <f t="shared" si="0"/>
        <v>2722.5</v>
      </c>
    </row>
    <row r="15" spans="1:7" ht="15.75" customHeight="1" x14ac:dyDescent="0.2">
      <c r="A15" s="8" t="s">
        <v>32</v>
      </c>
      <c r="B15" s="9">
        <v>217.8</v>
      </c>
      <c r="C15" s="9">
        <v>217.8</v>
      </c>
      <c r="D15" s="9">
        <v>217.8</v>
      </c>
      <c r="E15" s="9">
        <v>217.8</v>
      </c>
      <c r="F15" s="9">
        <v>217.8</v>
      </c>
      <c r="G15" s="11">
        <f t="shared" si="0"/>
        <v>1089</v>
      </c>
    </row>
    <row r="16" spans="1:7" ht="15.75" customHeight="1" x14ac:dyDescent="0.2">
      <c r="A16" s="8" t="s">
        <v>33</v>
      </c>
      <c r="B16" s="9">
        <v>266.2</v>
      </c>
      <c r="C16" s="9">
        <v>266.2</v>
      </c>
      <c r="D16" s="9">
        <v>266.2</v>
      </c>
      <c r="E16" s="9">
        <v>266.2</v>
      </c>
      <c r="F16" s="9">
        <v>266.2</v>
      </c>
      <c r="G16" s="11">
        <f t="shared" si="0"/>
        <v>1331</v>
      </c>
    </row>
    <row r="17" spans="1:7" ht="15.75" customHeight="1" x14ac:dyDescent="0.2">
      <c r="A17" s="8" t="s">
        <v>29</v>
      </c>
      <c r="B17" s="9">
        <v>484</v>
      </c>
      <c r="C17" s="9">
        <v>484</v>
      </c>
      <c r="D17" s="9">
        <v>484</v>
      </c>
      <c r="E17" s="9">
        <v>484</v>
      </c>
      <c r="F17" s="9">
        <v>484</v>
      </c>
      <c r="G17" s="11">
        <f t="shared" si="0"/>
        <v>2420</v>
      </c>
    </row>
    <row r="18" spans="1:7" ht="15.75" customHeight="1" x14ac:dyDescent="0.2">
      <c r="A18" s="8" t="s">
        <v>34</v>
      </c>
      <c r="B18" s="75"/>
      <c r="C18" s="75"/>
      <c r="D18" s="9">
        <v>1089</v>
      </c>
      <c r="E18" s="9">
        <v>3388</v>
      </c>
      <c r="F18" s="9">
        <v>834.9</v>
      </c>
      <c r="G18" s="11">
        <f t="shared" si="0"/>
        <v>5311.9</v>
      </c>
    </row>
    <row r="19" spans="1:7" ht="15.75" customHeight="1" x14ac:dyDescent="0.2">
      <c r="A19" s="8" t="s">
        <v>35</v>
      </c>
      <c r="B19" s="75"/>
      <c r="C19" s="9">
        <v>363</v>
      </c>
      <c r="D19" s="9">
        <v>363</v>
      </c>
      <c r="E19" s="9">
        <v>363</v>
      </c>
      <c r="F19" s="9">
        <v>363</v>
      </c>
      <c r="G19" s="11">
        <f t="shared" si="0"/>
        <v>1452</v>
      </c>
    </row>
    <row r="20" spans="1:7" ht="15.75" customHeight="1" x14ac:dyDescent="0.2">
      <c r="A20" s="8" t="s">
        <v>132</v>
      </c>
      <c r="B20" s="9">
        <v>2117.5</v>
      </c>
      <c r="C20" s="9">
        <v>2117.5</v>
      </c>
      <c r="D20" s="9">
        <v>2117.5</v>
      </c>
      <c r="E20" s="9">
        <v>665.5</v>
      </c>
      <c r="F20" s="9">
        <v>665.5</v>
      </c>
      <c r="G20" s="11">
        <f t="shared" si="0"/>
        <v>7683.5</v>
      </c>
    </row>
    <row r="21" spans="1:7" ht="15.75" customHeight="1" x14ac:dyDescent="0.2">
      <c r="A21" s="8" t="s">
        <v>133</v>
      </c>
      <c r="B21" s="9">
        <v>726</v>
      </c>
      <c r="C21" s="9">
        <v>1815</v>
      </c>
      <c r="D21" s="9">
        <v>1815</v>
      </c>
      <c r="E21" s="9">
        <v>1815</v>
      </c>
      <c r="F21" s="9">
        <v>1815</v>
      </c>
      <c r="G21" s="11">
        <f t="shared" si="0"/>
        <v>7986</v>
      </c>
    </row>
    <row r="22" spans="1:7" ht="15.75" customHeight="1" x14ac:dyDescent="0.2">
      <c r="A22" s="8" t="s">
        <v>134</v>
      </c>
      <c r="B22" s="9">
        <v>726</v>
      </c>
      <c r="C22" s="9">
        <v>726</v>
      </c>
      <c r="D22" s="75"/>
      <c r="E22" s="9">
        <v>665.5</v>
      </c>
      <c r="F22" s="9">
        <v>665.5</v>
      </c>
      <c r="G22" s="11">
        <f t="shared" si="0"/>
        <v>2783</v>
      </c>
    </row>
    <row r="23" spans="1:7" ht="15.75" customHeight="1" x14ac:dyDescent="0.2">
      <c r="A23" s="8" t="s">
        <v>135</v>
      </c>
      <c r="B23" s="9">
        <v>3630</v>
      </c>
      <c r="C23" s="9">
        <v>3630</v>
      </c>
      <c r="D23" s="75"/>
      <c r="E23" s="75"/>
      <c r="F23" s="75"/>
      <c r="G23" s="11">
        <f t="shared" si="0"/>
        <v>7260</v>
      </c>
    </row>
    <row r="24" spans="1:7" ht="15.75" customHeight="1" x14ac:dyDescent="0.2">
      <c r="A24" s="13" t="s">
        <v>38</v>
      </c>
      <c r="B24" s="11">
        <v>0</v>
      </c>
      <c r="C24" s="11">
        <v>0</v>
      </c>
      <c r="D24" s="11">
        <v>0</v>
      </c>
      <c r="E24" s="11">
        <v>0</v>
      </c>
      <c r="F24" s="11">
        <v>0</v>
      </c>
      <c r="G24" s="11">
        <f t="shared" si="0"/>
        <v>0</v>
      </c>
    </row>
    <row r="25" spans="1:7" ht="19.5" customHeight="1" x14ac:dyDescent="0.2">
      <c r="A25" s="15" t="s">
        <v>39</v>
      </c>
      <c r="B25" s="16">
        <f>SUM(B4:B24)</f>
        <v>13794.7</v>
      </c>
      <c r="C25" s="16">
        <f>SUM(C4:C24)</f>
        <v>18102.3</v>
      </c>
      <c r="D25" s="16">
        <f>SUM(D4:D24)</f>
        <v>14835.3</v>
      </c>
      <c r="E25" s="16">
        <f>SUM(E4:E24)</f>
        <v>16347.8</v>
      </c>
      <c r="F25" s="16">
        <f>SUM(F4:F24)</f>
        <v>13794.699999999999</v>
      </c>
      <c r="G25" s="16">
        <f t="shared" si="0"/>
        <v>76874.8</v>
      </c>
    </row>
    <row r="27" spans="1:7" ht="18" customHeight="1" x14ac:dyDescent="0.2">
      <c r="A27" s="1" t="s">
        <v>136</v>
      </c>
      <c r="B27" s="76">
        <v>3000</v>
      </c>
      <c r="C27" s="18" t="s">
        <v>11</v>
      </c>
      <c r="D27" s="18" t="s">
        <v>12</v>
      </c>
      <c r="E27" s="18" t="s">
        <v>13</v>
      </c>
      <c r="F27" s="18" t="s">
        <v>14</v>
      </c>
      <c r="G27" s="18" t="s">
        <v>130</v>
      </c>
    </row>
    <row r="28" spans="1:7" ht="15.75" customHeight="1" x14ac:dyDescent="0.2">
      <c r="A28" s="77" t="s">
        <v>137</v>
      </c>
      <c r="B28" s="78">
        <v>0</v>
      </c>
      <c r="C28" s="78">
        <v>3000</v>
      </c>
      <c r="D28" s="78">
        <v>3000</v>
      </c>
      <c r="E28" s="78">
        <v>3000</v>
      </c>
      <c r="F28" s="78">
        <v>3000</v>
      </c>
      <c r="G28" s="79">
        <f t="shared" ref="G28:G39" si="1">SUM(B28:F28)</f>
        <v>12000</v>
      </c>
    </row>
    <row r="29" spans="1:7" ht="15.75" customHeight="1" x14ac:dyDescent="0.2">
      <c r="A29" s="19" t="s">
        <v>138</v>
      </c>
      <c r="B29" s="20">
        <v>100</v>
      </c>
      <c r="C29" s="20">
        <v>100</v>
      </c>
      <c r="D29" s="20">
        <v>100</v>
      </c>
      <c r="E29" s="20">
        <v>100</v>
      </c>
      <c r="F29" s="20">
        <v>100</v>
      </c>
      <c r="G29" s="21">
        <f t="shared" si="1"/>
        <v>500</v>
      </c>
    </row>
    <row r="30" spans="1:7" ht="15.75" customHeight="1" x14ac:dyDescent="0.2">
      <c r="A30" s="19" t="s">
        <v>42</v>
      </c>
      <c r="B30" s="20">
        <v>400</v>
      </c>
      <c r="C30" s="20">
        <v>400</v>
      </c>
      <c r="D30" s="20">
        <v>400</v>
      </c>
      <c r="E30" s="20">
        <v>400</v>
      </c>
      <c r="F30" s="20">
        <v>400</v>
      </c>
      <c r="G30" s="21">
        <f t="shared" si="1"/>
        <v>2000</v>
      </c>
    </row>
    <row r="31" spans="1:7" ht="15.75" customHeight="1" x14ac:dyDescent="0.2">
      <c r="A31" s="19" t="s">
        <v>43</v>
      </c>
      <c r="B31" s="20">
        <v>450</v>
      </c>
      <c r="C31" s="20">
        <v>450</v>
      </c>
      <c r="D31" s="20">
        <v>450</v>
      </c>
      <c r="E31" s="20">
        <v>450</v>
      </c>
      <c r="F31" s="20">
        <v>450</v>
      </c>
      <c r="G31" s="21">
        <f t="shared" si="1"/>
        <v>2250</v>
      </c>
    </row>
    <row r="32" spans="1:7" ht="15.75" customHeight="1" x14ac:dyDescent="0.2">
      <c r="A32" s="19" t="s">
        <v>44</v>
      </c>
      <c r="B32" s="20">
        <v>310</v>
      </c>
      <c r="C32" s="20">
        <v>310</v>
      </c>
      <c r="D32" s="20">
        <v>310</v>
      </c>
      <c r="E32" s="20">
        <v>310</v>
      </c>
      <c r="F32" s="20">
        <v>310</v>
      </c>
      <c r="G32" s="21">
        <f t="shared" si="1"/>
        <v>1550</v>
      </c>
    </row>
    <row r="33" spans="1:7" ht="15.75" customHeight="1" x14ac:dyDescent="0.2">
      <c r="A33" s="19" t="s">
        <v>45</v>
      </c>
      <c r="B33" s="20">
        <v>200</v>
      </c>
      <c r="C33" s="20">
        <v>200</v>
      </c>
      <c r="D33" s="20">
        <v>200</v>
      </c>
      <c r="E33" s="20">
        <v>200</v>
      </c>
      <c r="F33" s="20">
        <v>200</v>
      </c>
      <c r="G33" s="21">
        <f t="shared" si="1"/>
        <v>1000</v>
      </c>
    </row>
    <row r="34" spans="1:7" ht="15.75" customHeight="1" x14ac:dyDescent="0.2">
      <c r="A34" s="19" t="s">
        <v>139</v>
      </c>
      <c r="B34" s="20">
        <v>1452</v>
      </c>
      <c r="C34" s="20">
        <v>1452</v>
      </c>
      <c r="D34" s="20">
        <v>1452</v>
      </c>
      <c r="E34" s="20">
        <v>1452</v>
      </c>
      <c r="F34" s="20">
        <v>1452</v>
      </c>
      <c r="G34" s="21">
        <f t="shared" si="1"/>
        <v>7260</v>
      </c>
    </row>
    <row r="35" spans="1:7" ht="15.75" customHeight="1" x14ac:dyDescent="0.2">
      <c r="A35" s="19" t="s">
        <v>140</v>
      </c>
      <c r="B35" s="20">
        <v>665.5</v>
      </c>
      <c r="C35" s="20">
        <v>665.5</v>
      </c>
      <c r="D35" s="20">
        <v>665.5</v>
      </c>
      <c r="E35" s="20">
        <v>665.5</v>
      </c>
      <c r="F35" s="20">
        <v>665.5</v>
      </c>
      <c r="G35" s="21">
        <f t="shared" si="1"/>
        <v>3327.5</v>
      </c>
    </row>
    <row r="36" spans="1:7" ht="15.75" customHeight="1" x14ac:dyDescent="0.2">
      <c r="A36" s="19" t="s">
        <v>141</v>
      </c>
      <c r="B36" s="20">
        <v>484</v>
      </c>
      <c r="C36" s="20">
        <v>484</v>
      </c>
      <c r="D36" s="20">
        <v>484</v>
      </c>
      <c r="E36" s="20">
        <v>484</v>
      </c>
      <c r="F36" s="20">
        <v>484</v>
      </c>
      <c r="G36" s="21">
        <f t="shared" si="1"/>
        <v>2420</v>
      </c>
    </row>
    <row r="37" spans="1:7" ht="15.75" customHeight="1" x14ac:dyDescent="0.2">
      <c r="A37" s="19" t="s">
        <v>142</v>
      </c>
      <c r="B37" s="20">
        <v>600</v>
      </c>
      <c r="C37" s="20">
        <v>600</v>
      </c>
      <c r="D37" s="20">
        <v>600</v>
      </c>
      <c r="E37" s="20">
        <v>600</v>
      </c>
      <c r="F37" s="20">
        <v>600</v>
      </c>
      <c r="G37" s="21">
        <f t="shared" si="1"/>
        <v>3000</v>
      </c>
    </row>
    <row r="38" spans="1:7" ht="15.75" customHeight="1" x14ac:dyDescent="0.2">
      <c r="A38" s="80" t="s">
        <v>47</v>
      </c>
      <c r="B38" s="81">
        <f>B67</f>
        <v>5414.75</v>
      </c>
      <c r="C38" s="23">
        <v>600</v>
      </c>
      <c r="D38" s="23">
        <v>600</v>
      </c>
      <c r="E38" s="23">
        <v>600</v>
      </c>
      <c r="F38" s="23">
        <v>600</v>
      </c>
      <c r="G38" s="21">
        <f t="shared" si="1"/>
        <v>7814.75</v>
      </c>
    </row>
    <row r="39" spans="1:7" ht="19.5" customHeight="1" x14ac:dyDescent="0.2">
      <c r="A39" s="24" t="s">
        <v>50</v>
      </c>
      <c r="B39" s="25">
        <f>SUM(B28:B38)</f>
        <v>10076.25</v>
      </c>
      <c r="C39" s="25">
        <f>SUM(C28:C38)</f>
        <v>8261.5</v>
      </c>
      <c r="D39" s="25">
        <f>SUM(D28:D38)</f>
        <v>8261.5</v>
      </c>
      <c r="E39" s="25">
        <f>SUM(E28:E38)</f>
        <v>8261.5</v>
      </c>
      <c r="F39" s="25">
        <f>SUM(F28:F38)</f>
        <v>8261.5</v>
      </c>
      <c r="G39" s="25">
        <f t="shared" si="1"/>
        <v>43122.25</v>
      </c>
    </row>
    <row r="41" spans="1:7" ht="19.5" customHeight="1" x14ac:dyDescent="0.2">
      <c r="A41" s="26" t="s">
        <v>51</v>
      </c>
      <c r="B41" s="28">
        <f>B25-B39</f>
        <v>3718.4500000000007</v>
      </c>
      <c r="C41" s="28">
        <f>C25-C39</f>
        <v>9840.7999999999993</v>
      </c>
      <c r="D41" s="28">
        <f>D25-D39</f>
        <v>6573.7999999999993</v>
      </c>
      <c r="E41" s="28">
        <f>E25-E39</f>
        <v>8086.2999999999993</v>
      </c>
      <c r="F41" s="28">
        <f>F25-F39</f>
        <v>5533.1999999999989</v>
      </c>
      <c r="G41" s="28">
        <f>SUM(B41:F41)</f>
        <v>33752.549999999996</v>
      </c>
    </row>
    <row r="43" spans="1:7" ht="18" customHeight="1" x14ac:dyDescent="0.2">
      <c r="A43" s="29" t="s">
        <v>143</v>
      </c>
      <c r="B43" s="30" t="s">
        <v>10</v>
      </c>
      <c r="C43" s="30" t="s">
        <v>11</v>
      </c>
      <c r="D43" s="30" t="s">
        <v>12</v>
      </c>
      <c r="E43" s="30" t="s">
        <v>13</v>
      </c>
      <c r="F43" s="30" t="s">
        <v>14</v>
      </c>
      <c r="G43" s="30" t="s">
        <v>130</v>
      </c>
    </row>
    <row r="44" spans="1:7" ht="15.75" customHeight="1" x14ac:dyDescent="0.2">
      <c r="A44" s="82" t="s">
        <v>144</v>
      </c>
      <c r="B44" s="83">
        <f>(B25-B9)*21/121</f>
        <v>2324.7000000000003</v>
      </c>
      <c r="C44" s="83">
        <f>(C25-C9)*21/121</f>
        <v>3072.2999999999997</v>
      </c>
      <c r="D44" s="83">
        <f>(D25-D9)*21/121</f>
        <v>2505.2999999999997</v>
      </c>
      <c r="E44" s="83">
        <f>(E25-E9)*21/121</f>
        <v>2767.7999999999997</v>
      </c>
      <c r="F44" s="83">
        <f>(F25-F9)*21/121</f>
        <v>2324.6999999999998</v>
      </c>
      <c r="G44" s="84">
        <f>SUM(B44:F44)</f>
        <v>12994.8</v>
      </c>
    </row>
    <row r="45" spans="1:7" ht="15.75" customHeight="1" x14ac:dyDescent="0.2">
      <c r="A45" s="85" t="s">
        <v>53</v>
      </c>
      <c r="B45" s="86">
        <f>(B29+B30+B33+B34+B35+B36+B37+B38)*21/121</f>
        <v>1616.8698347107438</v>
      </c>
      <c r="C45" s="86">
        <f>(C29+C30+C33+C34+C35+C36+C37+C38)*21/121</f>
        <v>781.25206611570252</v>
      </c>
      <c r="D45" s="86">
        <f>(D29+D30+D33+D34+D35+D36+D37+D38)*21/121</f>
        <v>781.25206611570252</v>
      </c>
      <c r="E45" s="86">
        <f>(E29+E30+E33+E34+E35+E36+E37+E38)*21/121</f>
        <v>781.25206611570252</v>
      </c>
      <c r="F45" s="86">
        <f>(F29+F30+F33+F34+F35+F36+F37+F38)*21/121</f>
        <v>781.25206611570252</v>
      </c>
      <c r="G45" s="87">
        <f>SUM(B45:F45)</f>
        <v>4741.878099173553</v>
      </c>
    </row>
    <row r="46" spans="1:7" ht="15.75" customHeight="1" x14ac:dyDescent="0.2">
      <c r="A46" s="34" t="s">
        <v>145</v>
      </c>
      <c r="B46" s="33">
        <f>B44-B45</f>
        <v>707.83016528925646</v>
      </c>
      <c r="C46" s="33">
        <f>C44-C45</f>
        <v>2291.047933884297</v>
      </c>
      <c r="D46" s="33">
        <f>D44-D45</f>
        <v>1724.0479338842972</v>
      </c>
      <c r="E46" s="33">
        <f>E44-E45</f>
        <v>1986.5479338842972</v>
      </c>
      <c r="F46" s="33">
        <f>F44-F45</f>
        <v>1543.4479338842973</v>
      </c>
      <c r="G46" s="33">
        <f>SUM(B46:F46)</f>
        <v>8252.9219008264445</v>
      </c>
    </row>
    <row r="47" spans="1:7" ht="21.75" customHeight="1" x14ac:dyDescent="0.2">
      <c r="A47" s="29" t="s">
        <v>146</v>
      </c>
      <c r="B47" s="88">
        <v>0</v>
      </c>
      <c r="C47" s="88">
        <v>0</v>
      </c>
      <c r="D47" s="35">
        <f>801.35+B46+C46</f>
        <v>3800.2280991735533</v>
      </c>
      <c r="E47" s="88">
        <v>0</v>
      </c>
      <c r="F47" s="88">
        <v>0</v>
      </c>
      <c r="G47" s="35">
        <f>D47</f>
        <v>3800.2280991735533</v>
      </c>
    </row>
    <row r="48" spans="1:7" ht="12.75" customHeight="1" x14ac:dyDescent="0.2">
      <c r="A48" s="119" t="s">
        <v>147</v>
      </c>
      <c r="B48" s="119"/>
      <c r="C48" s="119"/>
      <c r="D48" s="119"/>
      <c r="E48" s="119"/>
      <c r="F48" s="119"/>
      <c r="G48" s="119"/>
    </row>
    <row r="50" spans="1:7" ht="18" customHeight="1" x14ac:dyDescent="0.2">
      <c r="A50" s="3" t="s">
        <v>148</v>
      </c>
      <c r="B50" s="38" t="s">
        <v>10</v>
      </c>
      <c r="C50" s="38" t="s">
        <v>11</v>
      </c>
      <c r="D50" s="38" t="s">
        <v>12</v>
      </c>
      <c r="E50" s="38" t="s">
        <v>13</v>
      </c>
      <c r="F50" s="38" t="s">
        <v>14</v>
      </c>
      <c r="G50" s="38" t="s">
        <v>130</v>
      </c>
    </row>
    <row r="51" spans="1:7" ht="15.75" customHeight="1" x14ac:dyDescent="0.2">
      <c r="A51" s="39" t="s">
        <v>149</v>
      </c>
      <c r="B51" s="40">
        <v>225</v>
      </c>
      <c r="C51" s="40">
        <v>225</v>
      </c>
      <c r="D51" s="40">
        <v>225</v>
      </c>
      <c r="E51" s="40">
        <v>225</v>
      </c>
      <c r="F51" s="40">
        <v>225</v>
      </c>
      <c r="G51" s="41">
        <f>SUM(B51:F51)</f>
        <v>1125</v>
      </c>
    </row>
    <row r="52" spans="1:7" ht="15.75" customHeight="1" x14ac:dyDescent="0.2">
      <c r="A52" s="39" t="s">
        <v>150</v>
      </c>
      <c r="B52" s="40">
        <v>225</v>
      </c>
      <c r="C52" s="40">
        <v>225</v>
      </c>
      <c r="D52" s="40">
        <v>225</v>
      </c>
      <c r="E52" s="40">
        <v>225</v>
      </c>
      <c r="F52" s="40">
        <v>225</v>
      </c>
      <c r="G52" s="41">
        <f>SUM(B52:F52)</f>
        <v>1125</v>
      </c>
    </row>
    <row r="53" spans="1:7" ht="15.75" customHeight="1" x14ac:dyDescent="0.2">
      <c r="A53" s="39" t="s">
        <v>151</v>
      </c>
      <c r="B53" s="40">
        <v>84</v>
      </c>
      <c r="C53" s="40">
        <v>84</v>
      </c>
      <c r="D53" s="40">
        <v>84</v>
      </c>
      <c r="E53" s="40">
        <v>84</v>
      </c>
      <c r="F53" s="40">
        <v>84</v>
      </c>
      <c r="G53" s="41">
        <f>SUM(B53:F53)</f>
        <v>420</v>
      </c>
    </row>
    <row r="54" spans="1:7" ht="15.75" customHeight="1" x14ac:dyDescent="0.2">
      <c r="A54" s="39" t="s">
        <v>152</v>
      </c>
      <c r="B54" s="40">
        <v>82.5</v>
      </c>
      <c r="C54" s="40">
        <v>82.5</v>
      </c>
      <c r="D54" s="40">
        <v>82.5</v>
      </c>
      <c r="E54" s="40">
        <v>82.5</v>
      </c>
      <c r="F54" s="40">
        <v>82.5</v>
      </c>
      <c r="G54" s="41">
        <f>SUM(B54:F54)</f>
        <v>412.5</v>
      </c>
    </row>
    <row r="55" spans="1:7" ht="21.75" customHeight="1" x14ac:dyDescent="0.2">
      <c r="A55" s="3" t="s">
        <v>153</v>
      </c>
      <c r="B55" s="89">
        <v>0</v>
      </c>
      <c r="C55" s="89">
        <v>0</v>
      </c>
      <c r="D55" s="43">
        <f>534+SUM(B51:B54)+SUM(C51:C54)</f>
        <v>1767</v>
      </c>
      <c r="E55" s="89">
        <v>0</v>
      </c>
      <c r="F55" s="89">
        <v>0</v>
      </c>
      <c r="G55" s="43">
        <f>D55</f>
        <v>1767</v>
      </c>
    </row>
    <row r="56" spans="1:7" ht="12.75" customHeight="1" x14ac:dyDescent="0.2">
      <c r="A56" s="120" t="s">
        <v>154</v>
      </c>
      <c r="B56" s="120"/>
      <c r="C56" s="120"/>
      <c r="D56" s="120"/>
      <c r="E56" s="120"/>
      <c r="F56" s="120"/>
      <c r="G56" s="120"/>
    </row>
    <row r="58" spans="1:7" ht="24" customHeight="1" x14ac:dyDescent="0.2">
      <c r="A58" s="15" t="s">
        <v>60</v>
      </c>
      <c r="B58" s="16">
        <f>B41-B47-B55</f>
        <v>3718.4500000000007</v>
      </c>
      <c r="C58" s="16">
        <f>C41-C47-C55</f>
        <v>9840.7999999999993</v>
      </c>
      <c r="D58" s="16">
        <f>D41-D47-D55</f>
        <v>1006.5719008264459</v>
      </c>
      <c r="E58" s="16">
        <f>E41-E47-E55</f>
        <v>8086.2999999999993</v>
      </c>
      <c r="F58" s="16">
        <f>F41-F47-F55</f>
        <v>5533.1999999999989</v>
      </c>
      <c r="G58" s="16">
        <f>SUM(B58:F58)</f>
        <v>28185.321900826442</v>
      </c>
    </row>
    <row r="60" spans="1:7" ht="18" customHeight="1" x14ac:dyDescent="0.2">
      <c r="A60" s="121" t="s">
        <v>155</v>
      </c>
      <c r="B60" s="121"/>
      <c r="C60" s="121"/>
      <c r="D60" s="121"/>
      <c r="E60" s="121"/>
      <c r="F60" s="121"/>
      <c r="G60" s="121"/>
    </row>
    <row r="61" spans="1:7" ht="18" customHeight="1" x14ac:dyDescent="0.2">
      <c r="A61" s="2" t="s">
        <v>156</v>
      </c>
      <c r="B61" s="90">
        <v>25582</v>
      </c>
      <c r="C61" s="91">
        <f>B63</f>
        <v>29300.45</v>
      </c>
      <c r="D61" s="91">
        <f>C63</f>
        <v>39141.25</v>
      </c>
      <c r="E61" s="91">
        <f>D63</f>
        <v>40147.821900826442</v>
      </c>
      <c r="F61" s="91">
        <f>E63</f>
        <v>48234.121900826445</v>
      </c>
    </row>
    <row r="62" spans="1:7" ht="15.75" customHeight="1" x14ac:dyDescent="0.2">
      <c r="A62" s="92" t="s">
        <v>157</v>
      </c>
      <c r="B62" s="91">
        <f>B58</f>
        <v>3718.4500000000007</v>
      </c>
      <c r="C62" s="91">
        <f>C58</f>
        <v>9840.7999999999993</v>
      </c>
      <c r="D62" s="91">
        <f>D58</f>
        <v>1006.5719008264459</v>
      </c>
      <c r="E62" s="91">
        <f>E58</f>
        <v>8086.2999999999993</v>
      </c>
      <c r="F62" s="91">
        <f>F58</f>
        <v>5533.1999999999989</v>
      </c>
    </row>
    <row r="63" spans="1:7" ht="24" customHeight="1" x14ac:dyDescent="0.2">
      <c r="A63" s="93" t="s">
        <v>158</v>
      </c>
      <c r="B63" s="90">
        <f>B61+B62</f>
        <v>29300.45</v>
      </c>
      <c r="C63" s="90">
        <f>C61+C62</f>
        <v>39141.25</v>
      </c>
      <c r="D63" s="90">
        <f>D61+D62</f>
        <v>40147.821900826442</v>
      </c>
      <c r="E63" s="90">
        <f>E61+E62</f>
        <v>48234.121900826445</v>
      </c>
      <c r="F63" s="90">
        <f>F61+F62</f>
        <v>53767.321900826442</v>
      </c>
    </row>
    <row r="66" spans="1:7" ht="18" customHeight="1" x14ac:dyDescent="0.2">
      <c r="A66" s="116" t="s">
        <v>159</v>
      </c>
      <c r="B66" s="116"/>
      <c r="C66" s="116"/>
      <c r="D66" s="116"/>
      <c r="E66" s="116"/>
      <c r="F66" s="116"/>
      <c r="G66" s="116"/>
    </row>
    <row r="67" spans="1:7" ht="15.75" customHeight="1" x14ac:dyDescent="0.2">
      <c r="A67" s="48" t="s">
        <v>160</v>
      </c>
      <c r="B67" s="49">
        <f>SUM(B68:B70)</f>
        <v>5414.75</v>
      </c>
    </row>
    <row r="68" spans="1:7" ht="15.75" customHeight="1" x14ac:dyDescent="0.2">
      <c r="A68" s="50" t="s">
        <v>161</v>
      </c>
      <c r="B68" s="51">
        <v>211.75</v>
      </c>
    </row>
    <row r="69" spans="1:7" ht="15.75" customHeight="1" x14ac:dyDescent="0.2">
      <c r="A69" s="50" t="s">
        <v>162</v>
      </c>
      <c r="B69" s="51">
        <v>3630</v>
      </c>
    </row>
    <row r="70" spans="1:7" ht="15.75" customHeight="1" x14ac:dyDescent="0.2">
      <c r="A70" s="50" t="s">
        <v>163</v>
      </c>
      <c r="B70" s="51">
        <v>1573</v>
      </c>
    </row>
    <row r="71" spans="1:7" ht="15.75" customHeight="1" x14ac:dyDescent="0.2">
      <c r="A71" s="48" t="s">
        <v>164</v>
      </c>
      <c r="C71" s="49">
        <v>600</v>
      </c>
    </row>
    <row r="72" spans="1:7" ht="15.75" customHeight="1" x14ac:dyDescent="0.2">
      <c r="A72" s="48" t="s">
        <v>165</v>
      </c>
      <c r="D72" s="49">
        <v>600</v>
      </c>
    </row>
    <row r="73" spans="1:7" ht="15.75" customHeight="1" x14ac:dyDescent="0.2">
      <c r="A73" s="48" t="s">
        <v>166</v>
      </c>
      <c r="E73" s="49">
        <v>600</v>
      </c>
    </row>
    <row r="74" spans="1:7" ht="15.75" customHeight="1" x14ac:dyDescent="0.2">
      <c r="A74" s="48" t="s">
        <v>167</v>
      </c>
      <c r="F74" s="49">
        <v>600</v>
      </c>
    </row>
  </sheetData>
  <mergeCells count="6">
    <mergeCell ref="A66:G66"/>
    <mergeCell ref="A1:G1"/>
    <mergeCell ref="A2:G2"/>
    <mergeCell ref="A48:G48"/>
    <mergeCell ref="A56:G56"/>
    <mergeCell ref="A60:G6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7"/>
  <sheetViews>
    <sheetView tabSelected="1" zoomScale="108" zoomScaleNormal="108" workbookViewId="0">
      <selection activeCell="J62" sqref="J62"/>
    </sheetView>
  </sheetViews>
  <sheetFormatPr baseColWidth="10" defaultColWidth="8.6640625" defaultRowHeight="16" x14ac:dyDescent="0.2"/>
  <cols>
    <col min="1" max="1" width="20" customWidth="1"/>
    <col min="2" max="16" width="9.5" customWidth="1"/>
    <col min="17" max="17" width="11" customWidth="1"/>
    <col min="22" max="22" width="9.6640625" customWidth="1"/>
  </cols>
  <sheetData>
    <row r="1" spans="1:22" ht="30" customHeight="1" x14ac:dyDescent="0.2">
      <c r="A1" s="112" t="s">
        <v>168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</row>
    <row r="2" spans="1:22" ht="13.5" customHeight="1" x14ac:dyDescent="0.2">
      <c r="A2" s="113" t="s">
        <v>169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</row>
    <row r="3" spans="1:22" ht="19.5" customHeight="1" x14ac:dyDescent="0.2">
      <c r="A3" s="114" t="s">
        <v>170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spans="1:22" ht="19.5" customHeight="1" x14ac:dyDescent="0.2">
      <c r="A4" s="4" t="s">
        <v>171</v>
      </c>
      <c r="B4" s="5" t="s">
        <v>172</v>
      </c>
      <c r="C4" s="5" t="s">
        <v>173</v>
      </c>
      <c r="D4" s="5" t="s">
        <v>174</v>
      </c>
      <c r="E4" s="5" t="s">
        <v>175</v>
      </c>
      <c r="F4" s="5" t="s">
        <v>176</v>
      </c>
      <c r="G4" s="5" t="s">
        <v>177</v>
      </c>
      <c r="H4" s="5" t="s">
        <v>178</v>
      </c>
      <c r="I4" s="5" t="s">
        <v>179</v>
      </c>
      <c r="J4" s="5" t="s">
        <v>180</v>
      </c>
      <c r="K4" s="5" t="s">
        <v>181</v>
      </c>
      <c r="L4" s="5" t="s">
        <v>182</v>
      </c>
      <c r="M4" s="5" t="s">
        <v>183</v>
      </c>
      <c r="N4" s="5" t="s">
        <v>184</v>
      </c>
      <c r="O4" s="5" t="s">
        <v>185</v>
      </c>
      <c r="P4" s="5" t="s">
        <v>186</v>
      </c>
      <c r="Q4" s="5" t="s">
        <v>187</v>
      </c>
    </row>
    <row r="5" spans="1:22" ht="16.5" customHeight="1" x14ac:dyDescent="0.2">
      <c r="A5" s="94" t="s">
        <v>16</v>
      </c>
      <c r="B5" s="95">
        <v>2722.5</v>
      </c>
      <c r="C5" s="95">
        <v>1815</v>
      </c>
      <c r="D5" s="95">
        <v>1815</v>
      </c>
      <c r="E5" s="95">
        <v>1815</v>
      </c>
      <c r="F5" s="95">
        <v>1815</v>
      </c>
      <c r="G5" s="95">
        <v>1815</v>
      </c>
      <c r="H5" s="95">
        <v>1815</v>
      </c>
      <c r="I5" s="95">
        <v>1815</v>
      </c>
      <c r="J5" s="95">
        <v>1815</v>
      </c>
      <c r="K5" s="95">
        <v>1815</v>
      </c>
      <c r="L5" s="95">
        <v>1815</v>
      </c>
      <c r="M5" s="95">
        <v>1815</v>
      </c>
      <c r="N5" s="95">
        <v>1815</v>
      </c>
      <c r="O5" s="95">
        <v>1815</v>
      </c>
      <c r="P5" s="95">
        <v>1815</v>
      </c>
      <c r="Q5" s="96">
        <f>B5+C5+D5+E5+F5+G5+H5+I5+J5+K5+L5+M5+N5+O5+P5</f>
        <v>28132.5</v>
      </c>
    </row>
    <row r="6" spans="1:22" ht="16.5" customHeight="1" x14ac:dyDescent="0.2">
      <c r="A6" s="94" t="s">
        <v>188</v>
      </c>
      <c r="B6" s="95">
        <v>1028.5</v>
      </c>
      <c r="C6" s="95">
        <v>1028.5</v>
      </c>
      <c r="D6" s="95">
        <v>1366.4</v>
      </c>
      <c r="E6" s="95">
        <v>1028.5</v>
      </c>
      <c r="F6" s="95">
        <v>1028.5</v>
      </c>
      <c r="G6" s="95">
        <v>1028.5</v>
      </c>
      <c r="H6" s="95">
        <v>1028.5</v>
      </c>
      <c r="I6" s="95">
        <v>3827</v>
      </c>
      <c r="J6" s="97"/>
      <c r="K6" s="97"/>
      <c r="L6" s="97"/>
      <c r="M6" s="95"/>
      <c r="N6" s="95">
        <v>1028.5</v>
      </c>
      <c r="O6" s="95">
        <v>1028.5</v>
      </c>
      <c r="P6" s="95">
        <v>1028.5</v>
      </c>
      <c r="Q6" s="96">
        <f>B6+C6+D6+E6+F6+G6+H6+I6+M6+N6+O6+P6</f>
        <v>14449.9</v>
      </c>
    </row>
    <row r="7" spans="1:22" ht="16.5" customHeight="1" x14ac:dyDescent="0.2">
      <c r="A7" s="94" t="s">
        <v>17</v>
      </c>
      <c r="B7" s="95">
        <v>1815</v>
      </c>
      <c r="C7" s="95">
        <v>1694</v>
      </c>
      <c r="D7" s="95">
        <v>1694</v>
      </c>
      <c r="E7" s="95">
        <v>1694</v>
      </c>
      <c r="F7" s="95">
        <v>1694</v>
      </c>
      <c r="G7" s="95">
        <v>1694</v>
      </c>
      <c r="H7" s="95">
        <v>1694</v>
      </c>
      <c r="I7" s="95">
        <v>1694</v>
      </c>
      <c r="J7" s="95">
        <f>I7*0.5</f>
        <v>847</v>
      </c>
      <c r="K7" s="97"/>
      <c r="L7" s="97"/>
      <c r="M7" s="97"/>
      <c r="N7" s="97"/>
      <c r="O7" s="97"/>
      <c r="P7" s="97"/>
      <c r="Q7" s="96">
        <f>B7+C7+D7+E7+F7+G7+H7+I7+J7</f>
        <v>14520</v>
      </c>
    </row>
    <row r="8" spans="1:22" ht="16.5" customHeight="1" x14ac:dyDescent="0.2">
      <c r="A8" s="94" t="s">
        <v>21</v>
      </c>
      <c r="B8" s="95">
        <v>4356</v>
      </c>
      <c r="C8" s="95">
        <v>4356</v>
      </c>
      <c r="D8" s="95">
        <v>5808</v>
      </c>
      <c r="E8" s="97"/>
      <c r="F8" s="97"/>
      <c r="G8" s="97"/>
      <c r="H8" s="97"/>
      <c r="I8" s="95">
        <v>834.9</v>
      </c>
      <c r="J8" s="95">
        <v>834.9</v>
      </c>
      <c r="K8" s="95">
        <v>834.9</v>
      </c>
      <c r="L8" s="95">
        <v>834.9</v>
      </c>
      <c r="M8" s="95">
        <f>1500*(1+0.21)</f>
        <v>1815</v>
      </c>
      <c r="N8" s="95">
        <f>1500*(1+0.21)</f>
        <v>1815</v>
      </c>
      <c r="O8" s="95">
        <f>1500*(1+0.21)</f>
        <v>1815</v>
      </c>
      <c r="P8" s="95">
        <f>1500*(1+0.21)</f>
        <v>1815</v>
      </c>
      <c r="Q8" s="96">
        <f>B8+C8+D8+I8+J8+K8+L8+M8+N8+O8+P8</f>
        <v>25119.600000000002</v>
      </c>
    </row>
    <row r="9" spans="1:22" ht="16.5" customHeight="1" x14ac:dyDescent="0.2">
      <c r="A9" s="94" t="s">
        <v>18</v>
      </c>
      <c r="B9" s="95">
        <v>786.5</v>
      </c>
      <c r="C9" s="95">
        <v>786.5</v>
      </c>
      <c r="D9" s="95">
        <v>786.5</v>
      </c>
      <c r="E9" s="95">
        <v>786.5</v>
      </c>
      <c r="F9" s="95">
        <v>786.5</v>
      </c>
      <c r="G9" s="95">
        <v>786.5</v>
      </c>
      <c r="H9" s="95">
        <v>786.5</v>
      </c>
      <c r="I9" s="95">
        <v>786.5</v>
      </c>
      <c r="J9" s="95">
        <v>786.5</v>
      </c>
      <c r="K9" s="95">
        <f>((650+150))*(1+0.21)</f>
        <v>968</v>
      </c>
      <c r="L9" s="95">
        <f>((800+80))*(1+0.21)</f>
        <v>1064.8</v>
      </c>
      <c r="M9" s="95">
        <f>((800+80))*(1+0.21)</f>
        <v>1064.8</v>
      </c>
      <c r="N9" s="95">
        <f>((800+80))*(1+0.21)</f>
        <v>1064.8</v>
      </c>
      <c r="O9" s="95">
        <f>((800+80))*(1+0.21)</f>
        <v>1064.8</v>
      </c>
      <c r="P9" s="95">
        <f>((800+80))*(1+0.21)</f>
        <v>1064.8</v>
      </c>
      <c r="Q9" s="96">
        <f>B9+C9+D9+E9+F9+G9+H9+I9+J9+K9+L9+M9+N9+O9+P9</f>
        <v>13370.499999999996</v>
      </c>
    </row>
    <row r="10" spans="1:22" ht="16.5" customHeight="1" x14ac:dyDescent="0.2">
      <c r="A10" s="94" t="s">
        <v>19</v>
      </c>
      <c r="B10" s="95">
        <v>223.9</v>
      </c>
      <c r="C10" s="95">
        <v>223.9</v>
      </c>
      <c r="D10" s="95">
        <v>223.9</v>
      </c>
      <c r="E10" s="95">
        <v>223.9</v>
      </c>
      <c r="F10" s="95">
        <v>223.9</v>
      </c>
      <c r="G10" s="95">
        <v>223.9</v>
      </c>
      <c r="H10" s="95">
        <v>223.9</v>
      </c>
      <c r="I10" s="95">
        <v>223.9</v>
      </c>
      <c r="J10" s="95">
        <v>217.8</v>
      </c>
      <c r="K10" s="95">
        <v>217.8</v>
      </c>
      <c r="L10" s="95">
        <v>217.8</v>
      </c>
      <c r="M10" s="95">
        <v>217.8</v>
      </c>
      <c r="N10" s="95">
        <v>217.8</v>
      </c>
      <c r="O10" s="95">
        <v>217.8</v>
      </c>
      <c r="P10" s="95">
        <v>217.8</v>
      </c>
      <c r="Q10" s="96">
        <f>B10+C10+D10+E10+F10+G10+H10+I10+J10+K10+L10+M10+N10+O10+P10</f>
        <v>3315.8000000000011</v>
      </c>
    </row>
    <row r="11" spans="1:22" ht="16.5" customHeight="1" x14ac:dyDescent="0.2">
      <c r="A11" s="94" t="s">
        <v>24</v>
      </c>
      <c r="B11" s="97"/>
      <c r="C11" s="97"/>
      <c r="D11" s="97"/>
      <c r="E11" s="95">
        <v>580.79999999999995</v>
      </c>
      <c r="F11" s="95">
        <v>363</v>
      </c>
      <c r="G11" s="95">
        <v>363</v>
      </c>
      <c r="H11" s="95">
        <v>363</v>
      </c>
      <c r="I11" s="95">
        <v>363</v>
      </c>
      <c r="J11" s="95">
        <f>K11</f>
        <v>363</v>
      </c>
      <c r="K11" s="95">
        <f>363</f>
        <v>363</v>
      </c>
      <c r="L11" s="95">
        <f>363+514</f>
        <v>877</v>
      </c>
      <c r="M11" s="95">
        <v>363</v>
      </c>
      <c r="N11" s="95">
        <v>363</v>
      </c>
      <c r="O11" s="95">
        <v>363</v>
      </c>
      <c r="P11" s="95">
        <v>363</v>
      </c>
      <c r="Q11" s="96">
        <f>E11+F11+G11+H11+I11+J11+K11+L11+M11+N11+O11+P11</f>
        <v>5087.8</v>
      </c>
    </row>
    <row r="12" spans="1:22" ht="16.5" customHeight="1" x14ac:dyDescent="0.2">
      <c r="A12" s="94" t="s">
        <v>189</v>
      </c>
      <c r="B12" s="97"/>
      <c r="C12" s="97"/>
      <c r="D12" s="97"/>
      <c r="E12" s="95">
        <v>2904</v>
      </c>
      <c r="F12" s="95">
        <v>2904</v>
      </c>
      <c r="G12" s="97"/>
      <c r="H12" s="97"/>
      <c r="I12" s="97"/>
      <c r="J12" s="97"/>
      <c r="K12" s="97"/>
      <c r="L12" s="97"/>
      <c r="M12" s="97"/>
      <c r="N12" s="97"/>
      <c r="O12" s="97"/>
      <c r="P12" s="97"/>
      <c r="Q12" s="96">
        <f>E12+F12</f>
        <v>5808</v>
      </c>
    </row>
    <row r="13" spans="1:22" ht="16.5" customHeight="1" x14ac:dyDescent="0.2">
      <c r="A13" s="94" t="s">
        <v>32</v>
      </c>
      <c r="B13" s="97"/>
      <c r="C13" s="97"/>
      <c r="D13" s="97"/>
      <c r="E13" s="97"/>
      <c r="F13" s="97"/>
      <c r="G13" s="95">
        <v>217</v>
      </c>
      <c r="H13" s="95">
        <v>217</v>
      </c>
      <c r="I13" s="95">
        <v>217</v>
      </c>
      <c r="J13" s="95">
        <v>217</v>
      </c>
      <c r="K13" s="95">
        <v>217</v>
      </c>
      <c r="L13" s="95">
        <v>217</v>
      </c>
      <c r="M13" s="95">
        <v>217</v>
      </c>
      <c r="N13" s="95">
        <v>217</v>
      </c>
      <c r="O13" s="95">
        <v>217</v>
      </c>
      <c r="P13" s="95">
        <v>217</v>
      </c>
      <c r="Q13" s="96">
        <f>G13+H13+I13+J13+K13+L13+M13+N13+O13+P13</f>
        <v>2170</v>
      </c>
    </row>
    <row r="14" spans="1:22" ht="16.5" customHeight="1" x14ac:dyDescent="0.2">
      <c r="A14" s="94" t="s">
        <v>27</v>
      </c>
      <c r="B14" s="97"/>
      <c r="C14" s="97"/>
      <c r="D14" s="97"/>
      <c r="E14" s="97"/>
      <c r="F14" s="97"/>
      <c r="G14" s="97"/>
      <c r="H14" s="97"/>
      <c r="I14" s="95">
        <v>544.5</v>
      </c>
      <c r="J14" s="95">
        <v>544.5</v>
      </c>
      <c r="K14" s="95">
        <v>544.5</v>
      </c>
      <c r="L14" s="97"/>
      <c r="M14" s="97"/>
      <c r="N14" s="97"/>
      <c r="O14" s="97"/>
      <c r="P14" s="97"/>
      <c r="Q14" s="96">
        <f>I14+J14+K14</f>
        <v>1633.5</v>
      </c>
    </row>
    <row r="15" spans="1:22" ht="16.5" customHeight="1" x14ac:dyDescent="0.2">
      <c r="A15" s="94" t="s">
        <v>28</v>
      </c>
      <c r="B15" s="97"/>
      <c r="C15" s="97"/>
      <c r="D15" s="97"/>
      <c r="E15" s="97"/>
      <c r="F15" s="97"/>
      <c r="G15" s="95">
        <v>2117.5</v>
      </c>
      <c r="H15" s="95">
        <v>665.5</v>
      </c>
      <c r="I15" s="95">
        <v>665.5</v>
      </c>
      <c r="J15" s="95">
        <v>665.5</v>
      </c>
      <c r="K15" s="95">
        <v>544.5</v>
      </c>
      <c r="L15" s="97"/>
      <c r="M15" s="97"/>
      <c r="N15" s="97"/>
      <c r="O15" s="97"/>
      <c r="P15" s="97"/>
      <c r="Q15" s="96">
        <f>G15+H15+I15+J15+K15</f>
        <v>4658.5</v>
      </c>
      <c r="V15" s="47"/>
    </row>
    <row r="16" spans="1:22" ht="16.5" customHeight="1" x14ac:dyDescent="0.2">
      <c r="A16" s="94" t="s">
        <v>31</v>
      </c>
      <c r="B16" s="97"/>
      <c r="C16" s="97"/>
      <c r="D16" s="97"/>
      <c r="E16" s="97"/>
      <c r="F16" s="97"/>
      <c r="G16" s="97"/>
      <c r="H16" s="97"/>
      <c r="I16" s="95">
        <v>1028.5</v>
      </c>
      <c r="J16" s="95">
        <v>544.5</v>
      </c>
      <c r="K16" s="95">
        <v>544.5</v>
      </c>
      <c r="L16" s="95">
        <v>544.5</v>
      </c>
      <c r="M16" s="95">
        <v>544.5</v>
      </c>
      <c r="N16" s="95">
        <v>544.5</v>
      </c>
      <c r="O16" s="95">
        <v>544.5</v>
      </c>
      <c r="P16" s="95">
        <v>544.5</v>
      </c>
      <c r="Q16" s="96">
        <f>I16+J16+K16+L16+M16+N16+O16+P16</f>
        <v>4840</v>
      </c>
    </row>
    <row r="17" spans="1:19" ht="16.5" customHeight="1" x14ac:dyDescent="0.2">
      <c r="A17" s="94" t="s">
        <v>30</v>
      </c>
      <c r="B17" s="97"/>
      <c r="C17" s="97"/>
      <c r="D17" s="97"/>
      <c r="E17" s="97"/>
      <c r="F17" s="97"/>
      <c r="G17" s="97"/>
      <c r="H17" s="97"/>
      <c r="I17" s="95">
        <v>1028.5</v>
      </c>
      <c r="J17" s="95">
        <v>338.8</v>
      </c>
      <c r="K17" s="95">
        <v>338.8</v>
      </c>
      <c r="L17" s="95">
        <v>338.8</v>
      </c>
      <c r="M17" s="95">
        <v>338.8</v>
      </c>
      <c r="N17" s="95">
        <v>338.8</v>
      </c>
      <c r="O17" s="95">
        <v>338.8</v>
      </c>
      <c r="P17" s="95">
        <v>338.8</v>
      </c>
      <c r="Q17" s="96">
        <f>I17+J17+K17+L17+M17+N17+O17+P17</f>
        <v>3400.1000000000004</v>
      </c>
    </row>
    <row r="18" spans="1:19" ht="16.5" customHeight="1" x14ac:dyDescent="0.2">
      <c r="A18" s="94" t="s">
        <v>26</v>
      </c>
      <c r="B18" s="97"/>
      <c r="C18" s="97"/>
      <c r="D18" s="97"/>
      <c r="E18" s="97"/>
      <c r="F18" s="97"/>
      <c r="G18" s="95">
        <v>3146</v>
      </c>
      <c r="H18" s="95">
        <v>1452</v>
      </c>
      <c r="I18" s="95">
        <v>1270.5</v>
      </c>
      <c r="J18" s="95">
        <v>1270.5</v>
      </c>
      <c r="K18" s="95">
        <v>1270.5</v>
      </c>
      <c r="L18" s="95">
        <v>1270.5</v>
      </c>
      <c r="M18" s="95">
        <v>1270.5</v>
      </c>
      <c r="N18" s="95">
        <v>1270.5</v>
      </c>
      <c r="O18" s="95">
        <v>1270.5</v>
      </c>
      <c r="P18" s="95">
        <v>1270.5</v>
      </c>
      <c r="Q18" s="96">
        <f>G18+H18+I18+J18+K18+L18+M18+N18+O18+P18</f>
        <v>14762</v>
      </c>
    </row>
    <row r="19" spans="1:19" ht="16.5" customHeight="1" x14ac:dyDescent="0.2">
      <c r="A19" s="94" t="s">
        <v>29</v>
      </c>
      <c r="B19" s="97"/>
      <c r="C19" s="97"/>
      <c r="D19" s="97"/>
      <c r="E19" s="97"/>
      <c r="F19" s="97"/>
      <c r="G19" s="97"/>
      <c r="H19" s="95">
        <v>1452</v>
      </c>
      <c r="I19" s="95">
        <v>544.5</v>
      </c>
      <c r="J19" s="95">
        <v>544.5</v>
      </c>
      <c r="K19" s="95">
        <f>400*(1+0.21)</f>
        <v>484</v>
      </c>
      <c r="L19" s="95">
        <f>450*(1+0.21)</f>
        <v>544.5</v>
      </c>
      <c r="M19" s="95">
        <f>450*(1+0.21)</f>
        <v>544.5</v>
      </c>
      <c r="N19" s="95">
        <f>450*(1+0.21)</f>
        <v>544.5</v>
      </c>
      <c r="O19" s="95">
        <f>450*(1+0.21)</f>
        <v>544.5</v>
      </c>
      <c r="P19" s="95">
        <f>450*(1+0.21)</f>
        <v>544.5</v>
      </c>
      <c r="Q19" s="96">
        <f>H19+I19+J19+K19+L19+M19+N19+O19+P19</f>
        <v>5747.5</v>
      </c>
    </row>
    <row r="20" spans="1:19" ht="16.5" customHeight="1" x14ac:dyDescent="0.2">
      <c r="A20" s="94" t="s">
        <v>22</v>
      </c>
      <c r="B20" s="97"/>
      <c r="C20" s="95">
        <v>500</v>
      </c>
      <c r="D20" s="95">
        <v>500</v>
      </c>
      <c r="E20" s="95">
        <v>500</v>
      </c>
      <c r="F20" s="95">
        <v>500</v>
      </c>
      <c r="G20" s="95">
        <v>500</v>
      </c>
      <c r="H20" s="95">
        <v>250</v>
      </c>
      <c r="I20" s="95">
        <v>500</v>
      </c>
      <c r="J20" s="95">
        <v>250</v>
      </c>
      <c r="K20" s="95">
        <v>750</v>
      </c>
      <c r="L20" s="95">
        <v>400</v>
      </c>
      <c r="M20" s="95">
        <v>400</v>
      </c>
      <c r="N20" s="95">
        <v>400</v>
      </c>
      <c r="O20" s="95">
        <v>400</v>
      </c>
      <c r="P20" s="95">
        <v>400</v>
      </c>
      <c r="Q20" s="96">
        <f>C20+D20+E20+F20+G20+H20+I20+J20+K20+L20+M20+N20+O20+P20</f>
        <v>6250</v>
      </c>
    </row>
    <row r="21" spans="1:19" ht="16.5" customHeight="1" x14ac:dyDescent="0.2">
      <c r="A21" s="94" t="s">
        <v>23</v>
      </c>
      <c r="B21" s="97"/>
      <c r="C21" s="97"/>
      <c r="D21" s="97"/>
      <c r="E21" s="97"/>
      <c r="F21" s="95">
        <v>605</v>
      </c>
      <c r="G21" s="95">
        <v>605</v>
      </c>
      <c r="H21" s="95">
        <v>605</v>
      </c>
      <c r="I21" s="95">
        <v>605</v>
      </c>
      <c r="J21" s="95">
        <v>605</v>
      </c>
      <c r="K21" s="95">
        <v>605</v>
      </c>
      <c r="L21" s="95">
        <v>605</v>
      </c>
      <c r="M21" s="95">
        <v>605</v>
      </c>
      <c r="N21" s="95">
        <v>605</v>
      </c>
      <c r="O21" s="95">
        <v>605</v>
      </c>
      <c r="P21" s="95">
        <v>605</v>
      </c>
      <c r="Q21" s="96">
        <f>F21+G21+H21+I21+J21+K21+L21+M21+N21+O21+P21</f>
        <v>6655</v>
      </c>
    </row>
    <row r="22" spans="1:19" ht="16.5" customHeight="1" x14ac:dyDescent="0.2">
      <c r="A22" s="94" t="s">
        <v>34</v>
      </c>
      <c r="B22" s="97"/>
      <c r="C22" s="97"/>
      <c r="D22" s="97"/>
      <c r="E22" s="97"/>
      <c r="F22" s="97"/>
      <c r="G22" s="97"/>
      <c r="H22" s="97"/>
      <c r="I22" s="97"/>
      <c r="J22" s="95">
        <v>1452</v>
      </c>
      <c r="K22" s="98"/>
      <c r="M22" s="95">
        <v>1089</v>
      </c>
      <c r="N22" s="95">
        <v>3388</v>
      </c>
      <c r="O22" s="97"/>
      <c r="P22" s="95">
        <v>834.9</v>
      </c>
      <c r="Q22" s="96">
        <f>J22+M22+N22+P22</f>
        <v>6763.9</v>
      </c>
    </row>
    <row r="23" spans="1:19" ht="16.5" customHeight="1" x14ac:dyDescent="0.2">
      <c r="A23" s="94" t="s">
        <v>33</v>
      </c>
      <c r="B23" s="97"/>
      <c r="C23" s="97"/>
      <c r="D23" s="97"/>
      <c r="E23" s="97"/>
      <c r="F23" s="97"/>
      <c r="G23" s="95">
        <v>363</v>
      </c>
      <c r="H23" s="95">
        <v>363</v>
      </c>
      <c r="I23" s="95">
        <v>363</v>
      </c>
      <c r="J23" s="95">
        <v>363</v>
      </c>
      <c r="K23" s="95">
        <v>266.2</v>
      </c>
      <c r="L23" s="95">
        <v>266.2</v>
      </c>
      <c r="M23" s="95">
        <v>266.2</v>
      </c>
      <c r="N23" s="95">
        <v>266.2</v>
      </c>
      <c r="O23" s="95">
        <v>266.2</v>
      </c>
      <c r="P23" s="95">
        <v>266.2</v>
      </c>
      <c r="Q23" s="96">
        <f>G23+H23+I23+J23+K23+L23+M23+N23+O23+P23</f>
        <v>3049.1999999999994</v>
      </c>
    </row>
    <row r="24" spans="1:19" ht="16.5" customHeight="1" x14ac:dyDescent="0.2">
      <c r="A24" s="94" t="s">
        <v>133</v>
      </c>
      <c r="B24" s="97"/>
      <c r="C24" s="97"/>
      <c r="D24" s="97"/>
      <c r="E24" s="97"/>
      <c r="F24" s="97"/>
      <c r="G24" s="95"/>
      <c r="H24" s="95"/>
      <c r="I24" s="95"/>
      <c r="J24" s="95"/>
      <c r="K24" s="95">
        <f>(1200*(1+0.21))*0.5</f>
        <v>726</v>
      </c>
      <c r="L24" s="95">
        <f>K24</f>
        <v>726</v>
      </c>
      <c r="M24" s="95">
        <f>1500*(1+0.21)</f>
        <v>1815</v>
      </c>
      <c r="N24" s="95">
        <f>1500*(1+0.21)</f>
        <v>1815</v>
      </c>
      <c r="O24" s="95">
        <f>1500*(1+0.21)</f>
        <v>1815</v>
      </c>
      <c r="P24" s="95">
        <f>1500*(1+0.21)</f>
        <v>1815</v>
      </c>
      <c r="Q24" s="96">
        <f>G24+H24+I24+J24+K24+L24+M24+N24+O24+P24</f>
        <v>8712</v>
      </c>
    </row>
    <row r="25" spans="1:19" ht="16.5" customHeight="1" x14ac:dyDescent="0.2">
      <c r="A25" s="94" t="s">
        <v>35</v>
      </c>
      <c r="B25" s="97"/>
      <c r="C25" s="97"/>
      <c r="D25" s="97"/>
      <c r="E25" s="97"/>
      <c r="F25" s="97"/>
      <c r="G25" s="95"/>
      <c r="H25" s="95"/>
      <c r="I25" s="95"/>
      <c r="J25" s="95"/>
      <c r="K25" s="95">
        <f>((7*200))*(1+0.21)</f>
        <v>1694</v>
      </c>
      <c r="L25" s="95"/>
      <c r="M25" s="95"/>
      <c r="N25" s="95"/>
      <c r="O25" s="95"/>
      <c r="P25" s="95"/>
      <c r="Q25" s="96">
        <f>G25+H25+I25+J25+K25+L25+M25+N25+O25+P25</f>
        <v>1694</v>
      </c>
    </row>
    <row r="26" spans="1:19" ht="16.5" customHeight="1" x14ac:dyDescent="0.2">
      <c r="A26" s="94" t="s">
        <v>190</v>
      </c>
      <c r="B26" s="97"/>
      <c r="C26" s="97"/>
      <c r="D26" s="97"/>
      <c r="E26" s="97"/>
      <c r="F26" s="97"/>
      <c r="G26" s="95"/>
      <c r="H26" s="95"/>
      <c r="I26" s="95"/>
      <c r="J26" s="95"/>
      <c r="K26" s="95"/>
      <c r="M26" s="95">
        <f>(1200*(1+0.21))*0.5</f>
        <v>726</v>
      </c>
      <c r="N26" s="95">
        <f>M26</f>
        <v>726</v>
      </c>
      <c r="O26" s="95"/>
      <c r="P26" s="95"/>
      <c r="Q26" s="96">
        <f>G26+H26+I26+J26+K26+L26+M26+N26+O26+P26</f>
        <v>1452</v>
      </c>
      <c r="S26" s="17"/>
    </row>
    <row r="27" spans="1:19" ht="16.5" customHeight="1" x14ac:dyDescent="0.2">
      <c r="A27" s="94" t="s">
        <v>191</v>
      </c>
      <c r="B27" s="97"/>
      <c r="C27" s="97"/>
      <c r="D27" s="97"/>
      <c r="E27" s="97"/>
      <c r="F27" s="97"/>
      <c r="G27" s="97"/>
      <c r="H27" s="97"/>
      <c r="I27" s="97"/>
      <c r="J27" s="97"/>
      <c r="L27" s="95">
        <v>3327.5</v>
      </c>
      <c r="M27" s="95">
        <v>3327.5</v>
      </c>
      <c r="N27" s="97"/>
      <c r="O27" s="97"/>
      <c r="P27" s="97"/>
      <c r="Q27" s="96">
        <f>L27+M27</f>
        <v>6655</v>
      </c>
    </row>
    <row r="28" spans="1:19" ht="21.75" customHeight="1" x14ac:dyDescent="0.2">
      <c r="A28" s="99" t="s">
        <v>192</v>
      </c>
      <c r="B28" s="100">
        <f t="shared" ref="B28:Q28" si="0">SUM(B5:B27)</f>
        <v>10932.4</v>
      </c>
      <c r="C28" s="100">
        <f t="shared" si="0"/>
        <v>10403.9</v>
      </c>
      <c r="D28" s="100">
        <f t="shared" si="0"/>
        <v>12193.8</v>
      </c>
      <c r="E28" s="100">
        <f t="shared" si="0"/>
        <v>9532.7000000000007</v>
      </c>
      <c r="F28" s="100">
        <f t="shared" si="0"/>
        <v>9919.9</v>
      </c>
      <c r="G28" s="100">
        <f t="shared" si="0"/>
        <v>12859.4</v>
      </c>
      <c r="H28" s="100">
        <f t="shared" si="0"/>
        <v>10915.4</v>
      </c>
      <c r="I28" s="100">
        <f t="shared" si="0"/>
        <v>16311.3</v>
      </c>
      <c r="J28" s="100">
        <f t="shared" si="0"/>
        <v>11659.5</v>
      </c>
      <c r="K28" s="100">
        <f t="shared" si="0"/>
        <v>12183.7</v>
      </c>
      <c r="L28" s="100">
        <f t="shared" si="0"/>
        <v>13049.5</v>
      </c>
      <c r="M28" s="100">
        <f t="shared" si="0"/>
        <v>16419.600000000002</v>
      </c>
      <c r="N28" s="100">
        <f t="shared" si="0"/>
        <v>16419.600000000002</v>
      </c>
      <c r="O28" s="100">
        <f t="shared" si="0"/>
        <v>12305.600000000002</v>
      </c>
      <c r="P28" s="100">
        <f t="shared" si="0"/>
        <v>13140.500000000002</v>
      </c>
      <c r="Q28" s="100">
        <f t="shared" si="0"/>
        <v>188246.80000000002</v>
      </c>
    </row>
    <row r="31" spans="1:19" ht="19.5" customHeight="1" x14ac:dyDescent="0.2">
      <c r="A31" s="114" t="s">
        <v>193</v>
      </c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</row>
    <row r="32" spans="1:19" ht="19.5" customHeight="1" x14ac:dyDescent="0.2">
      <c r="A32" s="4" t="s">
        <v>171</v>
      </c>
      <c r="B32" s="5" t="s">
        <v>172</v>
      </c>
      <c r="C32" s="5" t="s">
        <v>173</v>
      </c>
      <c r="D32" s="5" t="s">
        <v>174</v>
      </c>
      <c r="E32" s="5" t="s">
        <v>175</v>
      </c>
      <c r="F32" s="5" t="s">
        <v>176</v>
      </c>
      <c r="G32" s="5" t="s">
        <v>177</v>
      </c>
      <c r="H32" s="5" t="s">
        <v>178</v>
      </c>
      <c r="I32" s="5" t="s">
        <v>179</v>
      </c>
      <c r="J32" s="5" t="s">
        <v>180</v>
      </c>
      <c r="K32" s="5" t="s">
        <v>181</v>
      </c>
      <c r="L32" s="5" t="s">
        <v>182</v>
      </c>
      <c r="M32" s="5" t="s">
        <v>183</v>
      </c>
      <c r="N32" s="5" t="s">
        <v>184</v>
      </c>
      <c r="O32" s="5" t="s">
        <v>185</v>
      </c>
      <c r="P32" s="5" t="s">
        <v>186</v>
      </c>
      <c r="Q32" s="5" t="s">
        <v>194</v>
      </c>
    </row>
    <row r="33" spans="1:17" ht="16.5" customHeight="1" x14ac:dyDescent="0.2">
      <c r="A33" s="94" t="s">
        <v>16</v>
      </c>
      <c r="B33" s="101">
        <v>907.5</v>
      </c>
      <c r="C33" s="101">
        <v>1815</v>
      </c>
      <c r="D33" s="101">
        <v>1815</v>
      </c>
      <c r="E33" s="101">
        <v>1815</v>
      </c>
      <c r="F33" s="101">
        <v>1815</v>
      </c>
      <c r="G33" s="101">
        <v>1815</v>
      </c>
      <c r="H33" s="101">
        <v>1815</v>
      </c>
      <c r="I33" s="101">
        <v>1815</v>
      </c>
      <c r="J33" s="101">
        <v>1815</v>
      </c>
      <c r="K33" s="101">
        <v>1815</v>
      </c>
      <c r="L33" s="101">
        <v>1815</v>
      </c>
      <c r="M33" s="102" t="s">
        <v>195</v>
      </c>
      <c r="N33" s="102" t="s">
        <v>195</v>
      </c>
      <c r="O33" s="102" t="s">
        <v>195</v>
      </c>
      <c r="P33" s="102" t="s">
        <v>195</v>
      </c>
      <c r="Q33" s="11">
        <f t="shared" ref="Q33:Q55" si="1">SUMIF(B33:P33,"&gt;"&amp;0)</f>
        <v>19057.5</v>
      </c>
    </row>
    <row r="34" spans="1:17" ht="16.5" customHeight="1" x14ac:dyDescent="0.2">
      <c r="A34" s="94" t="s">
        <v>188</v>
      </c>
      <c r="B34" s="101">
        <v>1028.5</v>
      </c>
      <c r="C34" s="101">
        <v>1028.5</v>
      </c>
      <c r="D34" s="101">
        <v>1437.4</v>
      </c>
      <c r="E34" s="101">
        <v>1028.5</v>
      </c>
      <c r="F34" s="101">
        <v>1028.5</v>
      </c>
      <c r="G34" s="101">
        <v>1028.5</v>
      </c>
      <c r="H34" s="101">
        <v>1028.5</v>
      </c>
      <c r="I34" s="101">
        <v>3827</v>
      </c>
      <c r="J34" s="97" t="s">
        <v>196</v>
      </c>
      <c r="K34" s="102" t="s">
        <v>196</v>
      </c>
      <c r="L34" s="102" t="s">
        <v>196</v>
      </c>
      <c r="M34" s="102" t="s">
        <v>196</v>
      </c>
      <c r="N34" s="102" t="s">
        <v>197</v>
      </c>
      <c r="O34" s="102" t="s">
        <v>195</v>
      </c>
      <c r="P34" s="102" t="s">
        <v>195</v>
      </c>
      <c r="Q34" s="11">
        <f t="shared" si="1"/>
        <v>11435.4</v>
      </c>
    </row>
    <row r="35" spans="1:17" ht="16.5" customHeight="1" x14ac:dyDescent="0.2">
      <c r="A35" s="94" t="s">
        <v>17</v>
      </c>
      <c r="B35" s="101">
        <v>1815</v>
      </c>
      <c r="C35" s="101">
        <v>1694</v>
      </c>
      <c r="D35" s="101">
        <v>1694</v>
      </c>
      <c r="E35" s="101">
        <v>1694</v>
      </c>
      <c r="F35" s="101">
        <v>1694</v>
      </c>
      <c r="G35" s="101">
        <v>1694</v>
      </c>
      <c r="H35" s="101">
        <v>1694</v>
      </c>
      <c r="I35" s="101">
        <v>1694</v>
      </c>
      <c r="J35" s="101">
        <f>J7</f>
        <v>847</v>
      </c>
      <c r="K35" s="97" t="s">
        <v>196</v>
      </c>
      <c r="L35" s="102" t="s">
        <v>196</v>
      </c>
      <c r="M35" s="97"/>
      <c r="N35" s="97"/>
      <c r="O35" s="97"/>
      <c r="P35" s="97"/>
      <c r="Q35" s="11">
        <f t="shared" si="1"/>
        <v>14520</v>
      </c>
    </row>
    <row r="36" spans="1:17" ht="16.5" customHeight="1" x14ac:dyDescent="0.2">
      <c r="A36" s="94" t="s">
        <v>21</v>
      </c>
      <c r="B36" s="101">
        <v>4356</v>
      </c>
      <c r="C36" s="101">
        <v>4356</v>
      </c>
      <c r="D36" s="101">
        <v>5808</v>
      </c>
      <c r="E36" s="97" t="s">
        <v>196</v>
      </c>
      <c r="F36" s="97" t="s">
        <v>196</v>
      </c>
      <c r="G36" s="97" t="s">
        <v>196</v>
      </c>
      <c r="H36" s="97" t="s">
        <v>196</v>
      </c>
      <c r="I36" s="101">
        <v>834.9</v>
      </c>
      <c r="J36" s="101">
        <v>834.9</v>
      </c>
      <c r="K36" s="101">
        <v>834.9</v>
      </c>
      <c r="L36" s="103" t="s">
        <v>198</v>
      </c>
      <c r="M36" s="102" t="s">
        <v>195</v>
      </c>
      <c r="N36" s="102" t="s">
        <v>195</v>
      </c>
      <c r="O36" s="102" t="s">
        <v>195</v>
      </c>
      <c r="P36" s="102" t="s">
        <v>195</v>
      </c>
      <c r="Q36" s="11">
        <f t="shared" si="1"/>
        <v>17024.7</v>
      </c>
    </row>
    <row r="37" spans="1:17" ht="16.5" customHeight="1" x14ac:dyDescent="0.2">
      <c r="A37" s="94" t="s">
        <v>18</v>
      </c>
      <c r="B37" s="101">
        <v>786.5</v>
      </c>
      <c r="C37" s="101">
        <v>786.5</v>
      </c>
      <c r="D37" s="101">
        <v>786.5</v>
      </c>
      <c r="E37" s="101">
        <v>786.5</v>
      </c>
      <c r="F37" s="101">
        <v>786.5</v>
      </c>
      <c r="G37" s="101">
        <v>786.5</v>
      </c>
      <c r="H37" s="101">
        <v>786.5</v>
      </c>
      <c r="I37" s="101">
        <v>786.5</v>
      </c>
      <c r="J37" s="101">
        <v>786.5</v>
      </c>
      <c r="K37" s="101">
        <f>K9</f>
        <v>968</v>
      </c>
      <c r="L37" s="101">
        <v>1064.8</v>
      </c>
      <c r="M37" s="102" t="s">
        <v>195</v>
      </c>
      <c r="N37" s="102" t="s">
        <v>195</v>
      </c>
      <c r="O37" s="102" t="s">
        <v>195</v>
      </c>
      <c r="P37" s="102" t="s">
        <v>195</v>
      </c>
      <c r="Q37" s="11">
        <f t="shared" si="1"/>
        <v>9111.2999999999993</v>
      </c>
    </row>
    <row r="38" spans="1:17" ht="16.5" customHeight="1" x14ac:dyDescent="0.2">
      <c r="A38" s="94" t="s">
        <v>19</v>
      </c>
      <c r="B38" s="101">
        <v>218</v>
      </c>
      <c r="C38" s="101">
        <v>218</v>
      </c>
      <c r="D38" s="101">
        <v>218</v>
      </c>
      <c r="E38" s="101">
        <v>218</v>
      </c>
      <c r="F38" s="101">
        <v>218</v>
      </c>
      <c r="G38" s="101">
        <v>218</v>
      </c>
      <c r="H38" s="101">
        <v>218</v>
      </c>
      <c r="I38" s="101">
        <v>223.9</v>
      </c>
      <c r="J38" s="101">
        <v>217.8</v>
      </c>
      <c r="K38" s="101">
        <v>217.8</v>
      </c>
      <c r="L38" s="101">
        <v>217.8</v>
      </c>
      <c r="M38" s="102" t="s">
        <v>195</v>
      </c>
      <c r="N38" s="102" t="s">
        <v>195</v>
      </c>
      <c r="O38" s="102" t="s">
        <v>195</v>
      </c>
      <c r="P38" s="102" t="s">
        <v>195</v>
      </c>
      <c r="Q38" s="11">
        <f t="shared" si="1"/>
        <v>2403.3000000000002</v>
      </c>
    </row>
    <row r="39" spans="1:17" ht="16.5" customHeight="1" x14ac:dyDescent="0.2">
      <c r="A39" s="94" t="s">
        <v>24</v>
      </c>
      <c r="B39" s="97" t="s">
        <v>196</v>
      </c>
      <c r="C39" s="97" t="s">
        <v>196</v>
      </c>
      <c r="D39" s="97" t="s">
        <v>196</v>
      </c>
      <c r="E39" s="101">
        <v>580.79999999999995</v>
      </c>
      <c r="F39" s="101">
        <v>363</v>
      </c>
      <c r="G39" s="101">
        <v>363</v>
      </c>
      <c r="H39" s="101">
        <v>363</v>
      </c>
      <c r="I39" s="101">
        <v>363</v>
      </c>
      <c r="J39" s="101">
        <f>J11</f>
        <v>363</v>
      </c>
      <c r="K39" s="101">
        <v>363</v>
      </c>
      <c r="L39" s="103" t="s">
        <v>198</v>
      </c>
      <c r="M39" s="102" t="s">
        <v>195</v>
      </c>
      <c r="N39" s="102" t="s">
        <v>195</v>
      </c>
      <c r="O39" s="102" t="s">
        <v>195</v>
      </c>
      <c r="P39" s="102" t="s">
        <v>195</v>
      </c>
      <c r="Q39" s="11">
        <f t="shared" si="1"/>
        <v>2758.8</v>
      </c>
    </row>
    <row r="40" spans="1:17" ht="16.5" customHeight="1" x14ac:dyDescent="0.2">
      <c r="A40" s="94" t="s">
        <v>189</v>
      </c>
      <c r="B40" s="97" t="s">
        <v>196</v>
      </c>
      <c r="C40" s="97" t="s">
        <v>196</v>
      </c>
      <c r="D40" s="97" t="s">
        <v>196</v>
      </c>
      <c r="E40" s="101">
        <v>2904</v>
      </c>
      <c r="F40" s="101">
        <v>2904</v>
      </c>
      <c r="G40" s="97" t="s">
        <v>196</v>
      </c>
      <c r="H40" s="97" t="s">
        <v>196</v>
      </c>
      <c r="I40" s="97" t="s">
        <v>196</v>
      </c>
      <c r="J40" s="97" t="s">
        <v>196</v>
      </c>
      <c r="K40" s="97" t="s">
        <v>196</v>
      </c>
      <c r="L40" s="102" t="s">
        <v>196</v>
      </c>
      <c r="M40" s="97"/>
      <c r="N40" s="97"/>
      <c r="O40" s="97"/>
      <c r="P40" s="97"/>
      <c r="Q40" s="11">
        <f t="shared" si="1"/>
        <v>5808</v>
      </c>
    </row>
    <row r="41" spans="1:17" ht="16.5" customHeight="1" x14ac:dyDescent="0.2">
      <c r="A41" s="94" t="s">
        <v>32</v>
      </c>
      <c r="B41" s="97" t="s">
        <v>196</v>
      </c>
      <c r="C41" s="97" t="s">
        <v>196</v>
      </c>
      <c r="D41" s="97" t="s">
        <v>196</v>
      </c>
      <c r="E41" s="97" t="s">
        <v>196</v>
      </c>
      <c r="F41" s="97" t="s">
        <v>196</v>
      </c>
      <c r="G41" s="101">
        <v>217</v>
      </c>
      <c r="H41" s="101">
        <v>217</v>
      </c>
      <c r="I41" s="101">
        <v>217</v>
      </c>
      <c r="J41" s="101"/>
      <c r="K41" s="101">
        <v>217</v>
      </c>
      <c r="L41" s="103" t="s">
        <v>198</v>
      </c>
      <c r="M41" s="102" t="s">
        <v>195</v>
      </c>
      <c r="N41" s="102" t="s">
        <v>195</v>
      </c>
      <c r="O41" s="102" t="s">
        <v>195</v>
      </c>
      <c r="P41" s="102" t="s">
        <v>195</v>
      </c>
      <c r="Q41" s="11">
        <f t="shared" si="1"/>
        <v>868</v>
      </c>
    </row>
    <row r="42" spans="1:17" ht="16.5" customHeight="1" x14ac:dyDescent="0.2">
      <c r="A42" s="94" t="s">
        <v>27</v>
      </c>
      <c r="B42" s="97" t="s">
        <v>196</v>
      </c>
      <c r="C42" s="97" t="s">
        <v>196</v>
      </c>
      <c r="D42" s="97" t="s">
        <v>196</v>
      </c>
      <c r="E42" s="97" t="s">
        <v>196</v>
      </c>
      <c r="F42" s="97" t="s">
        <v>196</v>
      </c>
      <c r="G42" s="97" t="s">
        <v>196</v>
      </c>
      <c r="H42" s="97" t="s">
        <v>196</v>
      </c>
      <c r="I42" s="101">
        <v>544.5</v>
      </c>
      <c r="J42" s="101">
        <v>544.5</v>
      </c>
      <c r="K42" s="101">
        <v>544.5</v>
      </c>
      <c r="L42" s="102" t="s">
        <v>196</v>
      </c>
      <c r="M42" s="102" t="s">
        <v>195</v>
      </c>
      <c r="N42" s="102" t="s">
        <v>195</v>
      </c>
      <c r="O42" s="102" t="s">
        <v>195</v>
      </c>
      <c r="P42" s="102" t="s">
        <v>195</v>
      </c>
      <c r="Q42" s="11">
        <f t="shared" si="1"/>
        <v>1633.5</v>
      </c>
    </row>
    <row r="43" spans="1:17" ht="16.5" customHeight="1" x14ac:dyDescent="0.2">
      <c r="A43" s="94" t="s">
        <v>28</v>
      </c>
      <c r="B43" s="97" t="s">
        <v>196</v>
      </c>
      <c r="C43" s="97" t="s">
        <v>196</v>
      </c>
      <c r="D43" s="97" t="s">
        <v>196</v>
      </c>
      <c r="E43" s="97" t="s">
        <v>196</v>
      </c>
      <c r="F43" s="97" t="s">
        <v>196</v>
      </c>
      <c r="G43" s="101">
        <v>2117.5</v>
      </c>
      <c r="H43" s="101">
        <v>665.5</v>
      </c>
      <c r="I43" s="101">
        <v>665.5</v>
      </c>
      <c r="J43" s="101">
        <v>665.5</v>
      </c>
      <c r="K43" s="101">
        <f>K42</f>
        <v>544.5</v>
      </c>
      <c r="L43" s="102" t="s">
        <v>196</v>
      </c>
      <c r="M43" s="102" t="s">
        <v>195</v>
      </c>
      <c r="N43" s="102" t="s">
        <v>195</v>
      </c>
      <c r="O43" s="102" t="s">
        <v>195</v>
      </c>
      <c r="P43" s="102" t="s">
        <v>195</v>
      </c>
      <c r="Q43" s="11">
        <f t="shared" si="1"/>
        <v>4658.5</v>
      </c>
    </row>
    <row r="44" spans="1:17" ht="16.5" customHeight="1" x14ac:dyDescent="0.2">
      <c r="A44" s="94" t="s">
        <v>31</v>
      </c>
      <c r="B44" s="97" t="s">
        <v>196</v>
      </c>
      <c r="C44" s="97" t="s">
        <v>196</v>
      </c>
      <c r="D44" s="97" t="s">
        <v>196</v>
      </c>
      <c r="E44" s="97" t="s">
        <v>196</v>
      </c>
      <c r="F44" s="97" t="s">
        <v>196</v>
      </c>
      <c r="G44" s="97" t="s">
        <v>196</v>
      </c>
      <c r="H44" s="97" t="s">
        <v>196</v>
      </c>
      <c r="I44" s="101">
        <v>1028.5</v>
      </c>
      <c r="J44" s="101">
        <f>J16</f>
        <v>544.5</v>
      </c>
      <c r="K44" s="101">
        <f>K16</f>
        <v>544.5</v>
      </c>
      <c r="L44" s="101">
        <v>544.5</v>
      </c>
      <c r="M44" s="102" t="s">
        <v>195</v>
      </c>
      <c r="N44" s="102" t="s">
        <v>195</v>
      </c>
      <c r="O44" s="102" t="s">
        <v>195</v>
      </c>
      <c r="P44" s="102" t="s">
        <v>195</v>
      </c>
      <c r="Q44" s="11">
        <f t="shared" si="1"/>
        <v>2662</v>
      </c>
    </row>
    <row r="45" spans="1:17" ht="16.5" customHeight="1" x14ac:dyDescent="0.2">
      <c r="A45" s="94" t="s">
        <v>30</v>
      </c>
      <c r="B45" s="97" t="s">
        <v>196</v>
      </c>
      <c r="C45" s="97" t="s">
        <v>196</v>
      </c>
      <c r="D45" s="97" t="s">
        <v>196</v>
      </c>
      <c r="E45" s="97" t="s">
        <v>196</v>
      </c>
      <c r="F45" s="97" t="s">
        <v>196</v>
      </c>
      <c r="G45" s="97" t="s">
        <v>196</v>
      </c>
      <c r="H45" s="97" t="s">
        <v>196</v>
      </c>
      <c r="I45" s="101">
        <v>1028.5</v>
      </c>
      <c r="J45" s="101">
        <v>338.8</v>
      </c>
      <c r="K45" s="101">
        <v>338.8</v>
      </c>
      <c r="L45" s="101">
        <v>338.8</v>
      </c>
      <c r="M45" s="102" t="s">
        <v>195</v>
      </c>
      <c r="N45" s="102" t="s">
        <v>195</v>
      </c>
      <c r="O45" s="102" t="s">
        <v>195</v>
      </c>
      <c r="P45" s="102" t="s">
        <v>195</v>
      </c>
      <c r="Q45" s="11">
        <f t="shared" si="1"/>
        <v>2044.8999999999999</v>
      </c>
    </row>
    <row r="46" spans="1:17" ht="16.5" customHeight="1" x14ac:dyDescent="0.2">
      <c r="A46" s="94" t="s">
        <v>26</v>
      </c>
      <c r="B46" s="97" t="s">
        <v>196</v>
      </c>
      <c r="C46" s="97" t="s">
        <v>196</v>
      </c>
      <c r="D46" s="97" t="s">
        <v>196</v>
      </c>
      <c r="E46" s="97" t="s">
        <v>196</v>
      </c>
      <c r="F46" s="97" t="s">
        <v>196</v>
      </c>
      <c r="G46" s="101">
        <v>3146</v>
      </c>
      <c r="H46" s="101">
        <v>1452</v>
      </c>
      <c r="I46" s="101">
        <v>1270.5</v>
      </c>
      <c r="J46" s="101">
        <v>1270.5</v>
      </c>
      <c r="K46" s="101">
        <v>1270.5</v>
      </c>
      <c r="L46" s="101">
        <v>1270.5</v>
      </c>
      <c r="M46" s="102" t="s">
        <v>199</v>
      </c>
      <c r="N46" s="102" t="s">
        <v>195</v>
      </c>
      <c r="O46" s="102" t="s">
        <v>195</v>
      </c>
      <c r="P46" s="102" t="s">
        <v>195</v>
      </c>
      <c r="Q46" s="11">
        <f t="shared" si="1"/>
        <v>9680</v>
      </c>
    </row>
    <row r="47" spans="1:17" ht="16.5" customHeight="1" x14ac:dyDescent="0.2">
      <c r="A47" s="94" t="s">
        <v>29</v>
      </c>
      <c r="B47" s="97" t="s">
        <v>196</v>
      </c>
      <c r="C47" s="97" t="s">
        <v>196</v>
      </c>
      <c r="D47" s="97" t="s">
        <v>196</v>
      </c>
      <c r="E47" s="97" t="s">
        <v>196</v>
      </c>
      <c r="F47" s="97" t="s">
        <v>196</v>
      </c>
      <c r="G47" s="97" t="s">
        <v>196</v>
      </c>
      <c r="H47" s="101">
        <v>1452</v>
      </c>
      <c r="I47" s="101">
        <v>544.5</v>
      </c>
      <c r="J47" s="101">
        <v>544.5</v>
      </c>
      <c r="K47" s="101">
        <f>K19</f>
        <v>484</v>
      </c>
      <c r="L47" s="103" t="s">
        <v>198</v>
      </c>
      <c r="M47" s="102" t="s">
        <v>195</v>
      </c>
      <c r="N47" s="102" t="s">
        <v>195</v>
      </c>
      <c r="O47" s="102" t="s">
        <v>195</v>
      </c>
      <c r="P47" s="102" t="s">
        <v>195</v>
      </c>
      <c r="Q47" s="11">
        <f t="shared" si="1"/>
        <v>3025</v>
      </c>
    </row>
    <row r="48" spans="1:17" ht="16.5" customHeight="1" x14ac:dyDescent="0.2">
      <c r="A48" s="94" t="s">
        <v>22</v>
      </c>
      <c r="B48" s="97" t="s">
        <v>196</v>
      </c>
      <c r="C48" s="101">
        <v>500</v>
      </c>
      <c r="D48" s="101">
        <v>500</v>
      </c>
      <c r="E48" s="101">
        <v>500</v>
      </c>
      <c r="F48" s="101">
        <v>500</v>
      </c>
      <c r="G48" s="101">
        <v>500</v>
      </c>
      <c r="H48" s="101">
        <v>250</v>
      </c>
      <c r="I48" s="101">
        <v>500</v>
      </c>
      <c r="J48" s="101">
        <v>250</v>
      </c>
      <c r="K48" s="101">
        <v>750</v>
      </c>
      <c r="L48" s="101">
        <v>750</v>
      </c>
      <c r="M48" s="102" t="s">
        <v>195</v>
      </c>
      <c r="N48" s="102" t="s">
        <v>195</v>
      </c>
      <c r="O48" s="102" t="s">
        <v>195</v>
      </c>
      <c r="P48" s="102" t="s">
        <v>195</v>
      </c>
      <c r="Q48" s="11">
        <f t="shared" si="1"/>
        <v>5000</v>
      </c>
    </row>
    <row r="49" spans="1:17" ht="16.5" customHeight="1" x14ac:dyDescent="0.2">
      <c r="A49" s="94" t="s">
        <v>23</v>
      </c>
      <c r="B49" s="97" t="s">
        <v>196</v>
      </c>
      <c r="C49" s="97" t="s">
        <v>196</v>
      </c>
      <c r="D49" s="97" t="s">
        <v>196</v>
      </c>
      <c r="E49" s="97" t="s">
        <v>196</v>
      </c>
      <c r="F49" s="101">
        <v>605</v>
      </c>
      <c r="G49" s="101">
        <v>605</v>
      </c>
      <c r="H49" s="101">
        <v>605</v>
      </c>
      <c r="I49" s="101">
        <v>605</v>
      </c>
      <c r="J49" s="101">
        <v>605</v>
      </c>
      <c r="K49" s="101">
        <v>605</v>
      </c>
      <c r="L49" s="103" t="s">
        <v>198</v>
      </c>
      <c r="M49" s="102" t="s">
        <v>195</v>
      </c>
      <c r="N49" s="102" t="s">
        <v>195</v>
      </c>
      <c r="O49" s="102" t="s">
        <v>195</v>
      </c>
      <c r="P49" s="102" t="s">
        <v>195</v>
      </c>
      <c r="Q49" s="11">
        <f t="shared" si="1"/>
        <v>3630</v>
      </c>
    </row>
    <row r="50" spans="1:17" ht="16.5" customHeight="1" x14ac:dyDescent="0.2">
      <c r="A50" s="94" t="s">
        <v>34</v>
      </c>
      <c r="B50" s="97" t="s">
        <v>196</v>
      </c>
      <c r="C50" s="97" t="s">
        <v>196</v>
      </c>
      <c r="D50" s="97" t="s">
        <v>196</v>
      </c>
      <c r="E50" s="97" t="s">
        <v>196</v>
      </c>
      <c r="F50" s="97" t="s">
        <v>196</v>
      </c>
      <c r="G50" s="97" t="s">
        <v>196</v>
      </c>
      <c r="H50" s="97" t="s">
        <v>196</v>
      </c>
      <c r="I50" s="97" t="s">
        <v>196</v>
      </c>
      <c r="J50" s="101">
        <v>1452</v>
      </c>
      <c r="K50" s="104" t="s">
        <v>196</v>
      </c>
      <c r="L50" s="105" t="s">
        <v>196</v>
      </c>
      <c r="M50" s="105" t="s">
        <v>195</v>
      </c>
      <c r="N50" s="102" t="s">
        <v>195</v>
      </c>
      <c r="O50" s="102" t="s">
        <v>195</v>
      </c>
      <c r="P50" s="102" t="s">
        <v>195</v>
      </c>
      <c r="Q50" s="11">
        <f t="shared" si="1"/>
        <v>1452</v>
      </c>
    </row>
    <row r="51" spans="1:17" ht="16.5" customHeight="1" x14ac:dyDescent="0.2">
      <c r="A51" s="94" t="s">
        <v>33</v>
      </c>
      <c r="B51" s="97" t="s">
        <v>196</v>
      </c>
      <c r="C51" s="97" t="s">
        <v>196</v>
      </c>
      <c r="D51" s="97" t="s">
        <v>196</v>
      </c>
      <c r="E51" s="97" t="s">
        <v>196</v>
      </c>
      <c r="F51" s="97" t="s">
        <v>196</v>
      </c>
      <c r="G51" s="101">
        <v>363</v>
      </c>
      <c r="H51" s="101">
        <v>363</v>
      </c>
      <c r="I51" s="101">
        <v>363</v>
      </c>
      <c r="J51" s="101">
        <v>363</v>
      </c>
      <c r="K51" s="101">
        <f>K23</f>
        <v>266.2</v>
      </c>
      <c r="L51" s="101">
        <v>266.2</v>
      </c>
      <c r="M51" s="102" t="s">
        <v>195</v>
      </c>
      <c r="N51" s="102" t="s">
        <v>195</v>
      </c>
      <c r="O51" s="102" t="s">
        <v>195</v>
      </c>
      <c r="P51" s="102" t="s">
        <v>195</v>
      </c>
      <c r="Q51" s="11">
        <f t="shared" si="1"/>
        <v>1984.4</v>
      </c>
    </row>
    <row r="52" spans="1:17" ht="16.5" customHeight="1" x14ac:dyDescent="0.2">
      <c r="A52" s="94" t="s">
        <v>200</v>
      </c>
      <c r="B52" s="97" t="s">
        <v>196</v>
      </c>
      <c r="C52" s="97" t="s">
        <v>196</v>
      </c>
      <c r="D52" s="97" t="s">
        <v>196</v>
      </c>
      <c r="E52" s="97" t="s">
        <v>196</v>
      </c>
      <c r="F52" s="97" t="s">
        <v>196</v>
      </c>
      <c r="G52" s="106" t="s">
        <v>196</v>
      </c>
      <c r="H52" s="106" t="s">
        <v>196</v>
      </c>
      <c r="I52" s="106" t="s">
        <v>196</v>
      </c>
      <c r="J52" s="106" t="s">
        <v>196</v>
      </c>
      <c r="K52" s="101">
        <v>726</v>
      </c>
      <c r="L52" s="103" t="s">
        <v>198</v>
      </c>
      <c r="M52" s="102"/>
      <c r="N52" s="102"/>
      <c r="O52" s="102"/>
      <c r="P52" s="102"/>
      <c r="Q52" s="11">
        <f t="shared" si="1"/>
        <v>726</v>
      </c>
    </row>
    <row r="53" spans="1:17" ht="16.5" customHeight="1" x14ac:dyDescent="0.2">
      <c r="A53" s="94" t="s">
        <v>35</v>
      </c>
      <c r="B53" s="97" t="s">
        <v>196</v>
      </c>
      <c r="C53" s="97" t="s">
        <v>196</v>
      </c>
      <c r="D53" s="97" t="s">
        <v>196</v>
      </c>
      <c r="E53" s="97" t="s">
        <v>196</v>
      </c>
      <c r="F53" s="97" t="s">
        <v>196</v>
      </c>
      <c r="G53" s="106" t="s">
        <v>196</v>
      </c>
      <c r="H53" s="106" t="s">
        <v>196</v>
      </c>
      <c r="I53" s="106" t="s">
        <v>196</v>
      </c>
      <c r="J53" s="106" t="s">
        <v>196</v>
      </c>
      <c r="K53" s="101">
        <v>1694</v>
      </c>
      <c r="L53" s="102" t="s">
        <v>196</v>
      </c>
      <c r="M53" s="102"/>
      <c r="N53" s="102"/>
      <c r="O53" s="102"/>
      <c r="P53" s="102"/>
      <c r="Q53" s="11">
        <f t="shared" si="1"/>
        <v>1694</v>
      </c>
    </row>
    <row r="54" spans="1:17" ht="16.5" customHeight="1" x14ac:dyDescent="0.2">
      <c r="A54" s="94" t="s">
        <v>190</v>
      </c>
      <c r="B54" s="97" t="s">
        <v>196</v>
      </c>
      <c r="C54" s="97" t="s">
        <v>196</v>
      </c>
      <c r="D54" s="97" t="s">
        <v>196</v>
      </c>
      <c r="E54" s="97" t="s">
        <v>196</v>
      </c>
      <c r="F54" s="97" t="s">
        <v>196</v>
      </c>
      <c r="G54" s="106" t="s">
        <v>196</v>
      </c>
      <c r="H54" s="106" t="s">
        <v>196</v>
      </c>
      <c r="I54" s="106" t="s">
        <v>196</v>
      </c>
      <c r="J54" s="106" t="s">
        <v>196</v>
      </c>
      <c r="K54" s="95" t="s">
        <v>196</v>
      </c>
      <c r="L54" s="105" t="s">
        <v>196</v>
      </c>
      <c r="M54" s="105" t="s">
        <v>195</v>
      </c>
      <c r="N54" s="105" t="s">
        <v>195</v>
      </c>
      <c r="O54" s="105" t="s">
        <v>195</v>
      </c>
      <c r="P54" s="105" t="s">
        <v>195</v>
      </c>
      <c r="Q54" s="11">
        <f t="shared" si="1"/>
        <v>0</v>
      </c>
    </row>
    <row r="55" spans="1:17" ht="16.5" customHeight="1" x14ac:dyDescent="0.2">
      <c r="A55" s="94" t="s">
        <v>191</v>
      </c>
      <c r="B55" s="97" t="s">
        <v>196</v>
      </c>
      <c r="C55" s="97" t="s">
        <v>196</v>
      </c>
      <c r="D55" s="97" t="s">
        <v>196</v>
      </c>
      <c r="E55" s="97" t="s">
        <v>196</v>
      </c>
      <c r="F55" s="97"/>
      <c r="G55" s="106" t="s">
        <v>196</v>
      </c>
      <c r="H55" s="106" t="s">
        <v>196</v>
      </c>
      <c r="I55" s="106" t="s">
        <v>196</v>
      </c>
      <c r="J55" s="106" t="s">
        <v>196</v>
      </c>
      <c r="K55" s="102" t="s">
        <v>201</v>
      </c>
      <c r="L55" s="103" t="s">
        <v>198</v>
      </c>
      <c r="M55" s="97"/>
      <c r="N55" s="97"/>
      <c r="O55" s="97"/>
      <c r="P55" s="97"/>
      <c r="Q55" s="97">
        <f t="shared" si="1"/>
        <v>0</v>
      </c>
    </row>
    <row r="56" spans="1:17" s="109" customFormat="1" ht="21.75" customHeight="1" x14ac:dyDescent="0.2">
      <c r="A56" s="107" t="s">
        <v>202</v>
      </c>
      <c r="B56" s="108">
        <f t="shared" ref="B56:Q56" si="2">SUMIF(B33:B55,"&gt;"&amp;0)</f>
        <v>9111.5</v>
      </c>
      <c r="C56" s="108">
        <f t="shared" si="2"/>
        <v>10398</v>
      </c>
      <c r="D56" s="108">
        <f t="shared" si="2"/>
        <v>12258.9</v>
      </c>
      <c r="E56" s="108">
        <f t="shared" si="2"/>
        <v>9526.7999999999993</v>
      </c>
      <c r="F56" s="108">
        <f t="shared" si="2"/>
        <v>9914</v>
      </c>
      <c r="G56" s="108">
        <f t="shared" si="2"/>
        <v>12853.5</v>
      </c>
      <c r="H56" s="108">
        <f t="shared" si="2"/>
        <v>10909.5</v>
      </c>
      <c r="I56" s="108">
        <f t="shared" si="2"/>
        <v>16311.3</v>
      </c>
      <c r="J56" s="108">
        <f t="shared" si="2"/>
        <v>11442.5</v>
      </c>
      <c r="K56" s="108">
        <f t="shared" si="2"/>
        <v>12183.7</v>
      </c>
      <c r="L56" s="108">
        <f t="shared" si="2"/>
        <v>6267.6</v>
      </c>
      <c r="M56" s="108">
        <f t="shared" si="2"/>
        <v>0</v>
      </c>
      <c r="N56" s="108">
        <f t="shared" si="2"/>
        <v>0</v>
      </c>
      <c r="O56" s="108">
        <f t="shared" si="2"/>
        <v>0</v>
      </c>
      <c r="P56" s="108">
        <f t="shared" si="2"/>
        <v>0</v>
      </c>
      <c r="Q56" s="108">
        <f t="shared" si="2"/>
        <v>121177.3</v>
      </c>
    </row>
    <row r="57" spans="1:17" ht="19.5" customHeight="1" x14ac:dyDescent="0.2">
      <c r="A57" s="110" t="s">
        <v>203</v>
      </c>
      <c r="B57" s="111">
        <v>0</v>
      </c>
      <c r="C57" s="111">
        <v>0</v>
      </c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f t="shared" ref="K57:Q57" si="3">K28-K56</f>
        <v>0</v>
      </c>
      <c r="L57" s="111">
        <f t="shared" si="3"/>
        <v>6781.9</v>
      </c>
      <c r="M57" s="111">
        <f t="shared" si="3"/>
        <v>16419.600000000002</v>
      </c>
      <c r="N57" s="111">
        <f t="shared" si="3"/>
        <v>16419.600000000002</v>
      </c>
      <c r="O57" s="111">
        <f t="shared" si="3"/>
        <v>12305.600000000002</v>
      </c>
      <c r="P57" s="111">
        <f t="shared" si="3"/>
        <v>13140.500000000002</v>
      </c>
      <c r="Q57" s="111">
        <f t="shared" si="3"/>
        <v>67069.500000000015</v>
      </c>
    </row>
  </sheetData>
  <mergeCells count="4">
    <mergeCell ref="A1:Q1"/>
    <mergeCell ref="A2:Q2"/>
    <mergeCell ref="A3:Q3"/>
    <mergeCell ref="A31:Q31"/>
  </mergeCells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CONTABILITAT ANUAL 2026</vt:lpstr>
      <vt:lpstr>PREVISIONS DE CAIXA 2026</vt:lpstr>
      <vt:lpstr>PAGAMENTS DELS 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Administrador</cp:lastModifiedBy>
  <cp:revision>0</cp:revision>
  <dcterms:created xsi:type="dcterms:W3CDTF">2025-07-10T10:20:19Z</dcterms:created>
  <dcterms:modified xsi:type="dcterms:W3CDTF">2026-08-20T11:06:30Z</dcterms:modified>
  <dc:language>en-US</dc:language>
</cp:coreProperties>
</file>